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102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03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 CENTRO" sheetId="1" r:id="rId5"/>
    <sheet state="visible" name="MODELO TEATRO" sheetId="2" r:id="rId6"/>
    <sheet state="visible" name="1207-20h" sheetId="3" r:id="rId7"/>
    <sheet state="visible" name="1207-18h" sheetId="4" r:id="rId8"/>
    <sheet state="visible" name="1207-16h" sheetId="5" r:id="rId9"/>
    <sheet state="visible" name="1207-11h" sheetId="6" r:id="rId10"/>
    <sheet state="visible" name="1207-09h " sheetId="7" r:id="rId11"/>
    <sheet state="visible" name="0507-16h" sheetId="8" r:id="rId12"/>
    <sheet state="visible" name="0507-11h" sheetId="9" r:id="rId13"/>
    <sheet state="visible" name="0507-9h" sheetId="10" r:id="rId14"/>
    <sheet state="visible" name="2806 - 20Hs" sheetId="11" r:id="rId15"/>
    <sheet state="visible" name="2806 - 18Hs" sheetId="12" r:id="rId16"/>
    <sheet state="visible" name="2806 - 16Hs" sheetId="13" r:id="rId17"/>
    <sheet state="visible" name="2806 - 11Hs" sheetId="14" r:id="rId18"/>
    <sheet state="visible" name="2806 -9Hs" sheetId="15" r:id="rId19"/>
    <sheet state="visible" name="216 - 9HS" sheetId="16" r:id="rId20"/>
    <sheet state="visible" name="216 - 11HS" sheetId="17" r:id="rId21"/>
    <sheet state="visible" name="216 - 16HS" sheetId="18" r:id="rId22"/>
    <sheet state="visible" name="216 - 18HS" sheetId="19" r:id="rId23"/>
    <sheet state="visible" name="216 - 20HS" sheetId="20" r:id="rId24"/>
    <sheet state="visible" name="146 - 9HS" sheetId="21" r:id="rId25"/>
    <sheet state="visible" name="146 - 18H" sheetId="22" r:id="rId26"/>
    <sheet state="visible" name="146 - 11HS" sheetId="23" r:id="rId27"/>
    <sheet state="visible" name="146 - 16H" sheetId="24" r:id="rId28"/>
    <sheet state="visible" name="146 - 20HS" sheetId="25" r:id="rId29"/>
    <sheet state="visible" name="0706-20h" sheetId="26" r:id="rId30"/>
    <sheet state="visible" name="0706-18h" sheetId="27" r:id="rId31"/>
    <sheet state="visible" name="0706-16h" sheetId="28" r:id="rId32"/>
    <sheet state="visible" name="0706-11h" sheetId="29" r:id="rId33"/>
    <sheet state="visible" name="0706 -9h" sheetId="30" r:id="rId34"/>
    <sheet state="visible" name="3105" sheetId="31" r:id="rId35"/>
    <sheet state="visible" name="245 9hs" sheetId="32" r:id="rId36"/>
    <sheet state="visible" name="245 - 11 hs" sheetId="33" r:id="rId37"/>
    <sheet state="visible" name="245 16 Hs" sheetId="34" r:id="rId38"/>
    <sheet state="visible" name="245 - 18 hs" sheetId="35" r:id="rId39"/>
    <sheet state="visible" name="245 - 20hs" sheetId="36" r:id="rId40"/>
    <sheet state="visible" name="1705 - 9HS" sheetId="37" r:id="rId41"/>
    <sheet state="visible" name="1705 - 11HS" sheetId="38" r:id="rId42"/>
    <sheet state="visible" name="1705 - 16HS" sheetId="39" r:id="rId43"/>
    <sheet state="visible" name="1705 - 18HS" sheetId="40" r:id="rId44"/>
    <sheet state="visible" name="1705 - 20HS" sheetId="41" r:id="rId45"/>
    <sheet state="visible" name="1005" sheetId="42" r:id="rId46"/>
    <sheet state="visible" name="0305" sheetId="43" r:id="rId47"/>
    <sheet state="visible" name="2604" sheetId="44" r:id="rId48"/>
    <sheet state="visible" name="1904-20h" sheetId="45" r:id="rId49"/>
    <sheet state="visible" name="1904-18h" sheetId="46" r:id="rId50"/>
    <sheet state="visible" name="1904-16h" sheetId="47" r:id="rId51"/>
    <sheet state="visible" name="1904-11h" sheetId="48" r:id="rId52"/>
    <sheet state="visible" name="1904-9h" sheetId="49" r:id="rId53"/>
    <sheet state="visible" name="1204" sheetId="50" r:id="rId54"/>
    <sheet state="visible" name=" 0504- 20h" sheetId="51" r:id="rId55"/>
    <sheet state="visible" name="0504- 18h" sheetId="52" r:id="rId56"/>
    <sheet state="visible" name="0504- 16h" sheetId="53" r:id="rId57"/>
    <sheet state="visible" name="0504- 11h" sheetId="54" r:id="rId58"/>
    <sheet state="visible" name="0504- 9 hs " sheetId="55" r:id="rId59"/>
    <sheet state="visible" name="2903 - 9 hs" sheetId="56" r:id="rId60"/>
    <sheet state="visible" name="Cópia de 2903 - 9 hs" sheetId="57" r:id="rId61"/>
    <sheet state="visible" name="2903 - 11 hs" sheetId="58" r:id="rId62"/>
    <sheet state="visible" name="2903 - 16 hs" sheetId="59" r:id="rId63"/>
    <sheet state="visible" name="2903 - 18 hs" sheetId="60" r:id="rId64"/>
    <sheet state="visible" name="2903 - 20 hs" sheetId="61" r:id="rId65"/>
    <sheet state="visible" name="0103 - 20 hs" sheetId="62" r:id="rId66"/>
    <sheet state="visible" name="0103 - 18 hs" sheetId="63" r:id="rId67"/>
    <sheet state="visible" name="0103 - 16 hs" sheetId="64" r:id="rId68"/>
    <sheet state="visible" name="0103 - 11 hs" sheetId="65" r:id="rId69"/>
    <sheet state="visible" name="0103 - 9 hs" sheetId="66" r:id="rId70"/>
    <sheet state="visible" name="2202 - 9 hs" sheetId="67" r:id="rId71"/>
    <sheet state="visible" name="2202 - 11 hs" sheetId="68" r:id="rId72"/>
    <sheet state="visible" name="2202 - 16 hs" sheetId="69" r:id="rId73"/>
    <sheet state="visible" name="2202 - 18 hs" sheetId="70" r:id="rId74"/>
    <sheet state="visible" name="2202 - 20 hs" sheetId="71" r:id="rId75"/>
    <sheet state="visible" name="0802 - 9 hs" sheetId="72" r:id="rId76"/>
    <sheet state="visible" name="0802 - 11 hs" sheetId="73" r:id="rId77"/>
    <sheet state="visible" name="0802 - 16 hs" sheetId="74" r:id="rId78"/>
    <sheet state="visible" name="0802 - 18 hs" sheetId="75" r:id="rId79"/>
    <sheet state="visible" name="0802 - 20 hs" sheetId="76" r:id="rId80"/>
    <sheet state="visible" name=" 0102 - 20h" sheetId="77" r:id="rId81"/>
    <sheet state="visible" name="0102 - 18h" sheetId="78" r:id="rId82"/>
    <sheet state="visible" name="0102 - 16h" sheetId="79" r:id="rId83"/>
    <sheet state="visible" name="0102 - 11h" sheetId="80" r:id="rId84"/>
    <sheet state="visible" name="0102 - 09h" sheetId="81" r:id="rId85"/>
    <sheet state="visible" name="2501 - 20h" sheetId="82" r:id="rId86"/>
    <sheet state="visible" name="2501 - 18h" sheetId="83" r:id="rId87"/>
    <sheet state="visible" name="2501 - 16h" sheetId="84" r:id="rId88"/>
    <sheet state="visible" name="2501 - 11h" sheetId="85" r:id="rId89"/>
    <sheet state="visible" name="2501 - 9h" sheetId="86" r:id="rId90"/>
    <sheet state="visible" name="1801 - 20h" sheetId="87" r:id="rId91"/>
    <sheet state="visible" name="1801 - 18h" sheetId="88" r:id="rId92"/>
    <sheet state="visible" name="1801 - 16h" sheetId="89" r:id="rId93"/>
    <sheet state="visible" name="1801 - 11h" sheetId="90" r:id="rId94"/>
    <sheet state="visible" name="1801 - 09h" sheetId="91" r:id="rId95"/>
    <sheet state="visible" name="1101 - 20h" sheetId="92" r:id="rId96"/>
    <sheet state="visible" name="1101 - 18h" sheetId="93" r:id="rId97"/>
    <sheet state="visible" name="1101 - 16h" sheetId="94" r:id="rId98"/>
    <sheet state="visible" name="1101 - 11h" sheetId="95" r:id="rId99"/>
    <sheet state="visible" name="1101 - 09h" sheetId="96" r:id="rId100"/>
    <sheet state="visible" name="0401 - 20h" sheetId="97" r:id="rId101"/>
    <sheet state="visible" name="0401 - 18h" sheetId="98" r:id="rId102"/>
    <sheet state="visible" name="0401 - 16h" sheetId="99" r:id="rId103"/>
    <sheet state="visible" name="0401 - 11h" sheetId="100" r:id="rId104"/>
    <sheet state="visible" name="0401 - 09h" sheetId="101" r:id="rId105"/>
    <sheet state="visible" name="GERAL" sheetId="102" r:id="rId106"/>
    <sheet state="hidden" name="Página5" sheetId="103" r:id="rId107"/>
  </sheets>
  <definedNames/>
  <calcPr/>
</workbook>
</file>

<file path=xl/sharedStrings.xml><?xml version="1.0" encoding="utf-8"?>
<sst xmlns="http://schemas.openxmlformats.org/spreadsheetml/2006/main" count="4688" uniqueCount="64">
  <si>
    <t>Centro de eventos - culto das 9hs</t>
  </si>
  <si>
    <t>Lugares</t>
  </si>
  <si>
    <t>Capacidade</t>
  </si>
  <si>
    <t>Brancas</t>
  </si>
  <si>
    <t>Vazios</t>
  </si>
  <si>
    <t>Total</t>
  </si>
  <si>
    <t>setor 01</t>
  </si>
  <si>
    <t>setor 02</t>
  </si>
  <si>
    <t>setor 03</t>
  </si>
  <si>
    <t>total</t>
  </si>
  <si>
    <t>Centro de eventos - culto das 11hs</t>
  </si>
  <si>
    <t>Centro de eventos - culto das 16hs</t>
  </si>
  <si>
    <t>Centro de eventos - culto das 18hs</t>
  </si>
  <si>
    <t>Centro de eventos - culto das 20hs</t>
  </si>
  <si>
    <t>Geral</t>
  </si>
  <si>
    <t>Plateia baixa</t>
  </si>
  <si>
    <t>Lateral porta 1</t>
  </si>
  <si>
    <t>Lateral porta 2</t>
  </si>
  <si>
    <t>Centro</t>
  </si>
  <si>
    <t>Última fileira</t>
  </si>
  <si>
    <t>Subtotal:</t>
  </si>
  <si>
    <t>Camarote</t>
  </si>
  <si>
    <t>Camarote 1</t>
  </si>
  <si>
    <t>Camarote 2</t>
  </si>
  <si>
    <t>Camarote 4</t>
  </si>
  <si>
    <t>Camarote 5</t>
  </si>
  <si>
    <t>Subtotal:236</t>
  </si>
  <si>
    <t>Plateia alta</t>
  </si>
  <si>
    <t>Inferior</t>
  </si>
  <si>
    <t>Almofadas</t>
  </si>
  <si>
    <t>Superior (Mezanino)</t>
  </si>
  <si>
    <t>Sala foyer</t>
  </si>
  <si>
    <t>Subtotal</t>
  </si>
  <si>
    <t>Galerias</t>
  </si>
  <si>
    <t>Direito alto</t>
  </si>
  <si>
    <t>Direito baixo</t>
  </si>
  <si>
    <t>Esquerdo alto</t>
  </si>
  <si>
    <t>Esquerdo baixo</t>
  </si>
  <si>
    <t>Foyer (entrada)</t>
  </si>
  <si>
    <t xml:space="preserve">Café </t>
  </si>
  <si>
    <t>Host (voluntários)</t>
  </si>
  <si>
    <t>Pedir informação p/ líder</t>
  </si>
  <si>
    <t>TOTAL:</t>
  </si>
  <si>
    <t>Em pé</t>
  </si>
  <si>
    <t>Camarote 3 (técnica)</t>
  </si>
  <si>
    <t>colocar, na 1º coluna quantas pessoas tem no cam. da téc.</t>
  </si>
  <si>
    <t>colocar, na 1ª coluna, quantas cadeiras temos na salinha</t>
  </si>
  <si>
    <t xml:space="preserve">3 piso </t>
  </si>
  <si>
    <t xml:space="preserve">Em pé </t>
  </si>
  <si>
    <t>Kids (voluntários)</t>
  </si>
  <si>
    <t>Cadeiras</t>
  </si>
  <si>
    <t xml:space="preserve">Cedeiras </t>
  </si>
  <si>
    <t>DATA</t>
  </si>
  <si>
    <t>09H</t>
  </si>
  <si>
    <t>11H</t>
  </si>
  <si>
    <t>16H</t>
  </si>
  <si>
    <t>18H</t>
  </si>
  <si>
    <t>19H</t>
  </si>
  <si>
    <t>20H</t>
  </si>
  <si>
    <t>TOTAL</t>
  </si>
  <si>
    <t>OBS</t>
  </si>
  <si>
    <t>P U C / NÃO INFORMADO</t>
  </si>
  <si>
    <t>L G F / NÃO INFORMADO</t>
  </si>
  <si>
    <t>P U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</si>
</sst>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16">
    <font>
      <sz val="10.0"/>
      <color rgb="FF000000"/>
      <name val="Arial"/>
      <scheme val="minor"/>
    </font>
    <font>
      <b/>
      <sz val="11.0"/>
      <color rgb="FFFFFFFF"/>
      <name val="Tahoma"/>
    </font>
    <font>
      <sz val="11.0"/>
      <color theme="1"/>
      <name val="Tahoma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Tahoma"/>
    </font>
    <font/>
    <font>
      <color theme="1"/>
      <name val="Arial"/>
    </font>
    <font>
      <b/>
      <color theme="1"/>
      <name val="Arial"/>
    </font>
    <font>
      <sz val="11.0"/>
      <color rgb="FFFFFFFF"/>
      <name val="Tahoma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strike/>
      <sz val="11.0"/>
      <color theme="1"/>
      <name val="Tahoma"/>
    </font>
    <font>
      <b/>
      <sz val="14.0"/>
      <color rgb="FF000000"/>
      <name val="&quot;Aptos Narrow&quot;"/>
    </font>
    <font>
      <sz val="14.0"/>
      <color rgb="FF000000"/>
      <name val="&quot;Aptos Narrow&quot;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</fills>
  <borders count="17">
    <border/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vertical="bottom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3" fillId="2" fontId="2" numFmtId="0" xfId="0" applyAlignment="1" applyBorder="1" applyFont="1">
      <alignment vertical="bottom"/>
    </xf>
    <xf borderId="4" fillId="0" fontId="6" numFmtId="0" xfId="0" applyAlignment="1" applyBorder="1" applyFont="1">
      <alignment vertical="center"/>
    </xf>
    <xf borderId="2" fillId="0" fontId="2" numFmtId="0" xfId="0" applyAlignment="1" applyBorder="1" applyFont="1">
      <alignment vertical="bottom"/>
    </xf>
    <xf borderId="4" fillId="0" fontId="7" numFmtId="0" xfId="0" applyBorder="1" applyFont="1"/>
    <xf borderId="2" fillId="0" fontId="8" numFmtId="0" xfId="0" applyAlignment="1" applyBorder="1" applyFont="1">
      <alignment horizontal="center" readingOrder="0" vertical="bottom"/>
    </xf>
    <xf borderId="5" fillId="0" fontId="7" numFmtId="0" xfId="0" applyBorder="1" applyFont="1"/>
    <xf borderId="6" fillId="2" fontId="1" numFmtId="0" xfId="0" applyAlignment="1" applyBorder="1" applyFont="1">
      <alignment horizontal="right" vertical="bottom"/>
    </xf>
    <xf borderId="6" fillId="0" fontId="7" numFmtId="0" xfId="0" applyBorder="1" applyFont="1"/>
    <xf borderId="2" fillId="0" fontId="7" numFmtId="0" xfId="0" applyBorder="1" applyFont="1"/>
    <xf borderId="2" fillId="2" fontId="1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right" readingOrder="0" vertical="bottom"/>
    </xf>
    <xf borderId="2" fillId="0" fontId="6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center" readingOrder="0" shrinkToFit="0" vertical="bottom" wrapText="1"/>
    </xf>
    <xf borderId="2" fillId="0" fontId="6" numFmtId="0" xfId="0" applyAlignment="1" applyBorder="1" applyFont="1">
      <alignment horizontal="center" readingOrder="0" vertical="bottom"/>
    </xf>
    <xf borderId="7" fillId="0" fontId="5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vertical="bottom"/>
    </xf>
    <xf borderId="2" fillId="0" fontId="9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vertical="center"/>
    </xf>
    <xf borderId="2" fillId="0" fontId="6" numFmtId="0" xfId="0" applyAlignment="1" applyBorder="1" applyFont="1">
      <alignment horizontal="center" vertical="bottom"/>
    </xf>
    <xf borderId="8" fillId="2" fontId="1" numFmtId="0" xfId="0" applyAlignment="1" applyBorder="1" applyFont="1">
      <alignment horizontal="right" vertical="bottom"/>
    </xf>
    <xf borderId="8" fillId="0" fontId="7" numFmtId="0" xfId="0" applyBorder="1" applyFont="1"/>
    <xf borderId="9" fillId="0" fontId="7" numFmtId="0" xfId="0" applyBorder="1" applyFont="1"/>
    <xf borderId="9" fillId="2" fontId="1" numFmtId="0" xfId="0" applyAlignment="1" applyBorder="1" applyFont="1">
      <alignment horizontal="center" vertical="bottom"/>
    </xf>
    <xf borderId="10" fillId="0" fontId="6" numFmtId="0" xfId="0" applyAlignment="1" applyBorder="1" applyFont="1">
      <alignment readingOrder="0" vertical="bottom"/>
    </xf>
    <xf borderId="10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center"/>
    </xf>
    <xf borderId="11" fillId="0" fontId="6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center" readingOrder="0" vertical="bottom"/>
    </xf>
    <xf borderId="8" fillId="2" fontId="10" numFmtId="0" xfId="0" applyAlignment="1" applyBorder="1" applyFont="1">
      <alignment horizontal="right" vertical="bottom"/>
    </xf>
    <xf borderId="2" fillId="2" fontId="10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readingOrder="0" vertical="bottom"/>
    </xf>
    <xf borderId="11" fillId="0" fontId="2" numFmtId="0" xfId="0" applyAlignment="1" applyBorder="1" applyFont="1">
      <alignment horizontal="center" vertical="bottom"/>
    </xf>
    <xf borderId="0" fillId="3" fontId="1" numFmtId="0" xfId="0" applyAlignment="1" applyFill="1" applyFont="1">
      <alignment horizontal="right" vertical="bottom"/>
    </xf>
    <xf borderId="12" fillId="2" fontId="1" numFmtId="0" xfId="0" applyAlignment="1" applyBorder="1" applyFont="1">
      <alignment horizontal="right" vertical="bottom"/>
    </xf>
    <xf borderId="13" fillId="0" fontId="7" numFmtId="0" xfId="0" applyBorder="1" applyFont="1"/>
    <xf borderId="13" fillId="2" fontId="1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12" numFmtId="0" xfId="0" applyAlignment="1" applyFont="1">
      <alignment readingOrder="0"/>
    </xf>
    <xf borderId="6" fillId="0" fontId="2" numFmtId="0" xfId="0" applyAlignment="1" applyBorder="1" applyFont="1">
      <alignment horizontal="center" readingOrder="0" vertical="bottom"/>
    </xf>
    <xf borderId="8" fillId="2" fontId="10" numFmtId="0" xfId="0" applyAlignment="1" applyBorder="1" applyFont="1">
      <alignment horizontal="right" readingOrder="0" vertical="bottom"/>
    </xf>
    <xf borderId="2" fillId="2" fontId="10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center"/>
    </xf>
    <xf borderId="10" fillId="0" fontId="11" numFmtId="0" xfId="0" applyAlignment="1" applyBorder="1" applyFont="1">
      <alignment readingOrder="0"/>
    </xf>
    <xf borderId="10" fillId="0" fontId="11" numFmtId="0" xfId="0" applyBorder="1" applyFont="1"/>
    <xf borderId="10" fillId="0" fontId="3" numFmtId="0" xfId="0" applyBorder="1" applyFont="1"/>
    <xf borderId="10" fillId="0" fontId="12" numFmtId="0" xfId="0" applyAlignment="1" applyBorder="1" applyFont="1">
      <alignment readingOrder="0"/>
    </xf>
    <xf borderId="14" fillId="0" fontId="12" numFmtId="0" xfId="0" applyAlignment="1" applyBorder="1" applyFont="1">
      <alignment readingOrder="0"/>
    </xf>
    <xf borderId="15" fillId="0" fontId="7" numFmtId="0" xfId="0" applyBorder="1" applyFont="1"/>
    <xf borderId="2" fillId="0" fontId="13" numFmtId="0" xfId="0" applyAlignment="1" applyBorder="1" applyFont="1">
      <alignment horizontal="center" readingOrder="0" vertical="bottom"/>
    </xf>
    <xf borderId="10" fillId="4" fontId="14" numFmtId="0" xfId="0" applyAlignment="1" applyBorder="1" applyFill="1" applyFont="1">
      <alignment horizontal="center" readingOrder="0" shrinkToFit="0" vertical="bottom" wrapText="0"/>
    </xf>
    <xf borderId="16" fillId="4" fontId="14" numFmtId="0" xfId="0" applyAlignment="1" applyBorder="1" applyFont="1">
      <alignment horizontal="center" readingOrder="0" shrinkToFit="0" vertical="bottom" wrapText="0"/>
    </xf>
    <xf borderId="16" fillId="0" fontId="7" numFmtId="0" xfId="0" applyBorder="1" applyFont="1"/>
    <xf borderId="10" fillId="0" fontId="15" numFmtId="164" xfId="0" applyAlignment="1" applyBorder="1" applyFont="1" applyNumberFormat="1">
      <alignment horizontal="center" readingOrder="0" shrinkToFit="0" vertical="bottom" wrapText="0"/>
    </xf>
    <xf borderId="10" fillId="0" fontId="15" numFmtId="0" xfId="0" applyAlignment="1" applyBorder="1" applyFont="1">
      <alignment horizontal="center" readingOrder="0" shrinkToFit="0" vertical="bottom" wrapText="0"/>
    </xf>
    <xf borderId="10" fillId="0" fontId="15" numFmtId="0" xfId="0" applyAlignment="1" applyBorder="1" applyFont="1">
      <alignment horizontal="center" shrinkToFit="0" vertical="bottom" wrapText="0"/>
    </xf>
    <xf borderId="10" fillId="5" fontId="15" numFmtId="164" xfId="0" applyAlignment="1" applyBorder="1" applyFill="1" applyFont="1" applyNumberFormat="1">
      <alignment horizontal="center" readingOrder="0" shrinkToFit="0" vertical="bottom" wrapText="0"/>
    </xf>
    <xf borderId="10" fillId="5" fontId="15" numFmtId="0" xfId="0" applyAlignment="1" applyBorder="1" applyFont="1">
      <alignment horizontal="center" readingOrder="0" shrinkToFit="0" vertical="bottom" wrapText="0"/>
    </xf>
    <xf borderId="14" fillId="5" fontId="15" numFmtId="0" xfId="0" applyAlignment="1" applyBorder="1" applyFont="1">
      <alignment horizontal="center" readingOrder="0" shrinkToFit="0" vertical="bottom" wrapText="0"/>
    </xf>
    <xf borderId="16" fillId="5" fontId="15" numFmtId="0" xfId="0" applyAlignment="1" applyBorder="1" applyFont="1">
      <alignment horizontal="center" readingOrder="0" shrinkToFit="0" vertical="bottom" wrapText="0"/>
    </xf>
    <xf borderId="10" fillId="5" fontId="15" numFmtId="0" xfId="0" applyAlignment="1" applyBorder="1" applyFont="1">
      <alignment horizontal="center" shrinkToFit="0" vertical="bottom" wrapText="0"/>
    </xf>
    <xf borderId="10" fillId="5" fontId="15" numFmtId="165" xfId="0" applyAlignment="1" applyBorder="1" applyFont="1" applyNumberFormat="1">
      <alignment horizontal="center" readingOrder="0" shrinkToFit="0" vertical="bottom" wrapText="0"/>
    </xf>
    <xf borderId="10" fillId="0" fontId="15" numFmtId="165" xfId="0" applyAlignment="1" applyBorder="1" applyFont="1" applyNumberFormat="1">
      <alignment horizontal="center" readingOrder="0" shrinkToFit="0" vertical="bottom" wrapText="0"/>
    </xf>
    <xf borderId="14" fillId="0" fontId="14" numFmtId="0" xfId="0" applyAlignment="1" applyBorder="1" applyFont="1">
      <alignment horizontal="center" readingOrder="0" shrinkToFit="0" vertical="bottom" wrapText="0"/>
    </xf>
    <xf borderId="10" fillId="0" fontId="1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</row>
    <row r="3">
      <c r="A3" s="4" t="s">
        <v>6</v>
      </c>
      <c r="B3" s="5">
        <v>126.0</v>
      </c>
      <c r="C3" s="5"/>
      <c r="D3" s="5"/>
      <c r="E3" s="6">
        <f t="shared" ref="E3:E5" si="1">(B3+C3)-D19</f>
        <v>126</v>
      </c>
    </row>
    <row r="4">
      <c r="A4" s="4" t="s">
        <v>7</v>
      </c>
      <c r="B4" s="5">
        <v>224.0</v>
      </c>
      <c r="C4" s="5"/>
      <c r="D4" s="5"/>
      <c r="E4" s="6">
        <f t="shared" si="1"/>
        <v>224</v>
      </c>
    </row>
    <row r="5">
      <c r="A5" s="4" t="s">
        <v>8</v>
      </c>
      <c r="B5" s="5">
        <v>150.0</v>
      </c>
      <c r="C5" s="5"/>
      <c r="D5" s="5"/>
      <c r="E5" s="6">
        <f t="shared" si="1"/>
        <v>150</v>
      </c>
    </row>
    <row r="6">
      <c r="D6" s="7" t="s">
        <v>9</v>
      </c>
      <c r="E6" s="8">
        <f>SUM(E3:E5)</f>
        <v>500</v>
      </c>
    </row>
    <row r="9">
      <c r="A9" s="1" t="s">
        <v>10</v>
      </c>
    </row>
    <row r="10">
      <c r="A10" s="2" t="s">
        <v>1</v>
      </c>
      <c r="B10" s="3" t="s">
        <v>2</v>
      </c>
      <c r="C10" s="2" t="s">
        <v>3</v>
      </c>
      <c r="D10" s="3" t="s">
        <v>4</v>
      </c>
      <c r="E10" s="3" t="s">
        <v>5</v>
      </c>
    </row>
    <row r="11">
      <c r="A11" s="4" t="s">
        <v>6</v>
      </c>
      <c r="B11" s="5">
        <v>126.0</v>
      </c>
      <c r="C11" s="5"/>
      <c r="D11" s="5"/>
      <c r="E11" s="6">
        <f t="shared" ref="E11:E13" si="2">(B11+C11)-D11</f>
        <v>126</v>
      </c>
    </row>
    <row r="12">
      <c r="A12" s="4" t="s">
        <v>7</v>
      </c>
      <c r="B12" s="5">
        <v>224.0</v>
      </c>
      <c r="C12" s="5"/>
      <c r="D12" s="5"/>
      <c r="E12" s="6">
        <f t="shared" si="2"/>
        <v>224</v>
      </c>
    </row>
    <row r="13">
      <c r="A13" s="4" t="s">
        <v>8</v>
      </c>
      <c r="B13" s="5">
        <v>150.0</v>
      </c>
      <c r="C13" s="5"/>
      <c r="D13" s="5"/>
      <c r="E13" s="6">
        <f t="shared" si="2"/>
        <v>150</v>
      </c>
    </row>
    <row r="14">
      <c r="D14" s="7" t="s">
        <v>9</v>
      </c>
      <c r="E14" s="8">
        <f>SUM(E11:E13)</f>
        <v>500</v>
      </c>
    </row>
    <row r="17">
      <c r="A17" s="1" t="s">
        <v>11</v>
      </c>
    </row>
    <row r="18">
      <c r="A18" s="2" t="s">
        <v>1</v>
      </c>
      <c r="B18" s="3" t="s">
        <v>2</v>
      </c>
      <c r="C18" s="2" t="s">
        <v>3</v>
      </c>
      <c r="D18" s="3" t="s">
        <v>4</v>
      </c>
      <c r="E18" s="3" t="s">
        <v>5</v>
      </c>
    </row>
    <row r="19">
      <c r="A19" s="4" t="s">
        <v>6</v>
      </c>
      <c r="B19" s="5">
        <v>126.0</v>
      </c>
      <c r="C19" s="5"/>
      <c r="D19" s="5"/>
      <c r="E19" s="6">
        <f t="shared" ref="E19:E21" si="3">(B19+C19)-D19</f>
        <v>126</v>
      </c>
    </row>
    <row r="20">
      <c r="A20" s="4" t="s">
        <v>7</v>
      </c>
      <c r="B20" s="5">
        <v>224.0</v>
      </c>
      <c r="C20" s="5"/>
      <c r="D20" s="5"/>
      <c r="E20" s="6">
        <f t="shared" si="3"/>
        <v>224</v>
      </c>
    </row>
    <row r="21">
      <c r="A21" s="4" t="s">
        <v>8</v>
      </c>
      <c r="B21" s="5">
        <v>150.0</v>
      </c>
      <c r="C21" s="5"/>
      <c r="D21" s="5"/>
      <c r="E21" s="6">
        <f t="shared" si="3"/>
        <v>150</v>
      </c>
    </row>
    <row r="22">
      <c r="D22" s="7" t="s">
        <v>9</v>
      </c>
      <c r="E22" s="8">
        <f>SUM(E19:E21)</f>
        <v>500</v>
      </c>
    </row>
    <row r="25">
      <c r="A25" s="1" t="s">
        <v>12</v>
      </c>
    </row>
    <row r="26">
      <c r="A26" s="2" t="s">
        <v>1</v>
      </c>
      <c r="B26" s="3" t="s">
        <v>2</v>
      </c>
      <c r="C26" s="2" t="s">
        <v>3</v>
      </c>
      <c r="D26" s="3" t="s">
        <v>4</v>
      </c>
      <c r="E26" s="3" t="s">
        <v>5</v>
      </c>
    </row>
    <row r="27">
      <c r="A27" s="4" t="s">
        <v>6</v>
      </c>
      <c r="B27" s="5">
        <v>126.0</v>
      </c>
      <c r="C27" s="5"/>
      <c r="D27" s="5"/>
      <c r="E27" s="6">
        <f t="shared" ref="E27:E29" si="4">(B27+C27)-D27</f>
        <v>126</v>
      </c>
    </row>
    <row r="28">
      <c r="A28" s="4" t="s">
        <v>7</v>
      </c>
      <c r="B28" s="5">
        <v>224.0</v>
      </c>
      <c r="C28" s="5"/>
      <c r="D28" s="5"/>
      <c r="E28" s="6">
        <f t="shared" si="4"/>
        <v>224</v>
      </c>
    </row>
    <row r="29">
      <c r="A29" s="4" t="s">
        <v>8</v>
      </c>
      <c r="B29" s="5">
        <v>150.0</v>
      </c>
      <c r="C29" s="5"/>
      <c r="D29" s="5"/>
      <c r="E29" s="6">
        <f t="shared" si="4"/>
        <v>150</v>
      </c>
    </row>
    <row r="30">
      <c r="D30" s="7" t="s">
        <v>9</v>
      </c>
      <c r="E30" s="8">
        <f>SUM(E27:E29)</f>
        <v>500</v>
      </c>
    </row>
    <row r="33">
      <c r="A33" s="1" t="s">
        <v>13</v>
      </c>
    </row>
    <row r="34">
      <c r="A34" s="2" t="s">
        <v>1</v>
      </c>
      <c r="B34" s="3" t="s">
        <v>2</v>
      </c>
      <c r="C34" s="2" t="s">
        <v>3</v>
      </c>
      <c r="D34" s="3" t="s">
        <v>4</v>
      </c>
      <c r="E34" s="3" t="s">
        <v>5</v>
      </c>
    </row>
    <row r="35">
      <c r="A35" s="4" t="s">
        <v>6</v>
      </c>
      <c r="B35" s="5">
        <v>126.0</v>
      </c>
      <c r="C35" s="5"/>
      <c r="D35" s="5"/>
      <c r="E35" s="6">
        <f t="shared" ref="E35:E36" si="5">B35-D35</f>
        <v>126</v>
      </c>
    </row>
    <row r="36">
      <c r="A36" s="4" t="s">
        <v>7</v>
      </c>
      <c r="B36" s="5">
        <v>224.0</v>
      </c>
      <c r="C36" s="5"/>
      <c r="D36" s="5"/>
      <c r="E36" s="6">
        <f t="shared" si="5"/>
        <v>224</v>
      </c>
    </row>
    <row r="37">
      <c r="A37" s="4" t="s">
        <v>8</v>
      </c>
      <c r="B37" s="5">
        <v>150.0</v>
      </c>
      <c r="C37" s="5"/>
      <c r="D37" s="5"/>
      <c r="E37" s="6">
        <f>B37-D37+C37</f>
        <v>150</v>
      </c>
    </row>
    <row r="38">
      <c r="D38" s="7" t="s">
        <v>9</v>
      </c>
      <c r="E38" s="8">
        <f>SUM(E35:E37)</f>
        <v>500</v>
      </c>
    </row>
    <row r="41">
      <c r="D41" s="9" t="s">
        <v>14</v>
      </c>
      <c r="E41" s="10">
        <f>SUM(E38+E30+E22+E14+E6)</f>
        <v>2500</v>
      </c>
    </row>
    <row r="45">
      <c r="C45" s="11"/>
      <c r="D45" s="12"/>
    </row>
  </sheetData>
  <mergeCells count="5">
    <mergeCell ref="A1:E1"/>
    <mergeCell ref="A9:E9"/>
    <mergeCell ref="A17:E17"/>
    <mergeCell ref="A25:E25"/>
    <mergeCell ref="A33:E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/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/>
      <c r="E3" s="6">
        <f t="shared" si="1"/>
        <v>104</v>
      </c>
    </row>
    <row r="4">
      <c r="A4" s="16"/>
      <c r="B4" s="15" t="s">
        <v>18</v>
      </c>
      <c r="C4" s="6">
        <v>306.0</v>
      </c>
      <c r="D4" s="5"/>
      <c r="E4" s="6">
        <f t="shared" si="1"/>
        <v>306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553</v>
      </c>
    </row>
    <row r="8">
      <c r="A8" s="14" t="s">
        <v>21</v>
      </c>
      <c r="B8" s="15" t="s">
        <v>22</v>
      </c>
      <c r="C8" s="5">
        <v>35.0</v>
      </c>
      <c r="D8" s="5"/>
      <c r="E8" s="6">
        <f t="shared" ref="E8:E11" si="2">C8-D8</f>
        <v>35</v>
      </c>
    </row>
    <row r="9">
      <c r="A9" s="16"/>
      <c r="B9" s="15" t="s">
        <v>23</v>
      </c>
      <c r="C9" s="5">
        <f>25</f>
        <v>25</v>
      </c>
      <c r="D9" s="5"/>
      <c r="E9" s="6">
        <f t="shared" si="2"/>
        <v>25</v>
      </c>
    </row>
    <row r="10">
      <c r="A10" s="16"/>
      <c r="B10" s="15" t="s">
        <v>24</v>
      </c>
      <c r="C10" s="5">
        <v>25.0</v>
      </c>
      <c r="D10" s="5"/>
      <c r="E10" s="6">
        <f t="shared" si="2"/>
        <v>25</v>
      </c>
    </row>
    <row r="11">
      <c r="A11" s="16"/>
      <c r="B11" s="15" t="s">
        <v>25</v>
      </c>
      <c r="C11" s="5">
        <v>35.0</v>
      </c>
      <c r="D11" s="5"/>
      <c r="E11" s="6">
        <f t="shared" si="2"/>
        <v>35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120</v>
      </c>
    </row>
    <row r="14">
      <c r="A14" s="14" t="s">
        <v>27</v>
      </c>
      <c r="B14" s="15" t="s">
        <v>28</v>
      </c>
      <c r="C14" s="6">
        <v>236.0</v>
      </c>
      <c r="D14" s="5"/>
      <c r="E14" s="5">
        <f t="shared" ref="E14:E17" si="3">C14-D14</f>
        <v>236</v>
      </c>
    </row>
    <row r="15">
      <c r="A15" s="16"/>
      <c r="B15" s="15" t="s">
        <v>29</v>
      </c>
      <c r="C15" s="5">
        <v>6.0</v>
      </c>
      <c r="D15" s="5"/>
      <c r="E15" s="5">
        <f t="shared" si="3"/>
        <v>6</v>
      </c>
    </row>
    <row r="16">
      <c r="A16" s="16"/>
      <c r="B16" s="4" t="s">
        <v>30</v>
      </c>
      <c r="C16" s="6">
        <v>138.0</v>
      </c>
      <c r="D16" s="5"/>
      <c r="E16" s="5">
        <f t="shared" si="3"/>
        <v>138</v>
      </c>
    </row>
    <row r="17">
      <c r="A17" s="16"/>
      <c r="B17" s="24" t="s">
        <v>31</v>
      </c>
      <c r="C17" s="25">
        <v>30.0</v>
      </c>
      <c r="D17" s="26"/>
      <c r="E17" s="5">
        <f t="shared" si="3"/>
        <v>30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410</v>
      </c>
      <c r="F19" s="12"/>
    </row>
    <row r="20">
      <c r="A20" s="30" t="s">
        <v>33</v>
      </c>
      <c r="B20" s="28" t="s">
        <v>34</v>
      </c>
      <c r="C20" s="5">
        <v>16.0</v>
      </c>
      <c r="D20" s="5"/>
      <c r="E20" s="6">
        <f t="shared" ref="E20:E23" si="4">C20-D20</f>
        <v>16</v>
      </c>
      <c r="F20" s="12"/>
    </row>
    <row r="21">
      <c r="A21" s="16"/>
      <c r="B21" s="28" t="s">
        <v>35</v>
      </c>
      <c r="C21" s="5">
        <v>24.0</v>
      </c>
      <c r="D21" s="5"/>
      <c r="E21" s="6">
        <f t="shared" si="4"/>
        <v>24</v>
      </c>
      <c r="F21" s="12"/>
    </row>
    <row r="22">
      <c r="A22" s="16"/>
      <c r="B22" s="28" t="s">
        <v>36</v>
      </c>
      <c r="C22" s="5">
        <v>24.0</v>
      </c>
      <c r="D22" s="5"/>
      <c r="E22" s="6">
        <f t="shared" si="4"/>
        <v>24</v>
      </c>
      <c r="F22" s="12"/>
    </row>
    <row r="23">
      <c r="A23" s="16"/>
      <c r="B23" s="28" t="s">
        <v>37</v>
      </c>
      <c r="C23" s="5">
        <v>23.0</v>
      </c>
      <c r="D23" s="5"/>
      <c r="E23" s="6">
        <f t="shared" si="4"/>
        <v>23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87</v>
      </c>
      <c r="F25" s="12"/>
    </row>
    <row r="26">
      <c r="A26" s="30" t="s">
        <v>38</v>
      </c>
      <c r="B26" s="36" t="s">
        <v>39</v>
      </c>
      <c r="C26" s="37">
        <v>40.0</v>
      </c>
      <c r="D26" s="37"/>
      <c r="E26" s="38">
        <f>C26-D26</f>
        <v>40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40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1210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17.0</v>
      </c>
      <c r="E2" s="6">
        <f t="shared" ref="E2:E5" si="1">C2-D2</f>
        <v>91</v>
      </c>
    </row>
    <row r="3">
      <c r="A3" s="16"/>
      <c r="B3" s="15" t="s">
        <v>17</v>
      </c>
      <c r="C3" s="6">
        <v>104.0</v>
      </c>
      <c r="D3" s="5">
        <v>17.0</v>
      </c>
      <c r="E3" s="6">
        <f t="shared" si="1"/>
        <v>87</v>
      </c>
    </row>
    <row r="4">
      <c r="A4" s="16"/>
      <c r="B4" s="15" t="s">
        <v>18</v>
      </c>
      <c r="C4" s="6">
        <v>306.0</v>
      </c>
      <c r="D4" s="5">
        <v>108.0</v>
      </c>
      <c r="E4" s="6">
        <f t="shared" si="1"/>
        <v>198</v>
      </c>
    </row>
    <row r="5">
      <c r="A5" s="16"/>
      <c r="B5" s="15" t="s">
        <v>19</v>
      </c>
      <c r="C5" s="6">
        <v>35.0</v>
      </c>
      <c r="D5" s="5">
        <v>11.0</v>
      </c>
      <c r="E5" s="6">
        <f t="shared" si="1"/>
        <v>24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400</v>
      </c>
    </row>
    <row r="8">
      <c r="A8" s="14" t="s">
        <v>21</v>
      </c>
      <c r="B8" s="15" t="s">
        <v>22</v>
      </c>
      <c r="C8" s="5">
        <v>35.0</v>
      </c>
      <c r="D8" s="5">
        <v>25.0</v>
      </c>
      <c r="E8" s="6">
        <f t="shared" ref="E8:E11" si="2">C8-D8</f>
        <v>10</v>
      </c>
    </row>
    <row r="9">
      <c r="A9" s="16"/>
      <c r="B9" s="15" t="s">
        <v>23</v>
      </c>
      <c r="C9" s="5">
        <f>25</f>
        <v>25</v>
      </c>
      <c r="D9" s="5">
        <v>20.0</v>
      </c>
      <c r="E9" s="6">
        <f t="shared" si="2"/>
        <v>5</v>
      </c>
    </row>
    <row r="10">
      <c r="A10" s="16"/>
      <c r="B10" s="15" t="s">
        <v>24</v>
      </c>
      <c r="C10" s="5">
        <v>25.0</v>
      </c>
      <c r="D10" s="5">
        <v>17.0</v>
      </c>
      <c r="E10" s="6">
        <f t="shared" si="2"/>
        <v>8</v>
      </c>
    </row>
    <row r="11">
      <c r="A11" s="16"/>
      <c r="B11" s="15" t="s">
        <v>25</v>
      </c>
      <c r="C11" s="5">
        <v>35.0</v>
      </c>
      <c r="D11" s="5">
        <v>23.0</v>
      </c>
      <c r="E11" s="6">
        <f t="shared" si="2"/>
        <v>12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35</v>
      </c>
    </row>
    <row r="14">
      <c r="A14" s="14" t="s">
        <v>27</v>
      </c>
      <c r="B14" s="15" t="s">
        <v>28</v>
      </c>
      <c r="C14" s="6">
        <v>236.0</v>
      </c>
      <c r="D14" s="5">
        <v>166.0</v>
      </c>
      <c r="E14" s="5">
        <f t="shared" ref="E14:E17" si="3">C14-D14</f>
        <v>70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122.0</v>
      </c>
      <c r="E16" s="5">
        <f t="shared" si="3"/>
        <v>16</v>
      </c>
    </row>
    <row r="17">
      <c r="A17" s="16"/>
      <c r="B17" s="24" t="s">
        <v>31</v>
      </c>
      <c r="C17" s="25">
        <v>30.0</v>
      </c>
      <c r="D17" s="26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86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16.0</v>
      </c>
      <c r="E20" s="6">
        <f t="shared" ref="E20:E23" si="4">C20-D20</f>
        <v>0</v>
      </c>
      <c r="F20" s="12"/>
    </row>
    <row r="21">
      <c r="A21" s="16"/>
      <c r="B21" s="28" t="s">
        <v>35</v>
      </c>
      <c r="C21" s="5">
        <v>24.0</v>
      </c>
      <c r="D21" s="5">
        <v>24.0</v>
      </c>
      <c r="E21" s="6">
        <f t="shared" si="4"/>
        <v>0</v>
      </c>
      <c r="F21" s="12"/>
    </row>
    <row r="22">
      <c r="A22" s="16"/>
      <c r="B22" s="28" t="s">
        <v>36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37</v>
      </c>
      <c r="C23" s="5">
        <v>23.0</v>
      </c>
      <c r="D23" s="5">
        <v>23.0</v>
      </c>
      <c r="E23" s="6">
        <f t="shared" si="4"/>
        <v>0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0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521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8.0</v>
      </c>
      <c r="E2" s="6">
        <f t="shared" ref="E2:E5" si="1">C2-D2</f>
        <v>100</v>
      </c>
    </row>
    <row r="3">
      <c r="A3" s="16"/>
      <c r="B3" s="15" t="s">
        <v>17</v>
      </c>
      <c r="C3" s="6">
        <v>104.0</v>
      </c>
      <c r="D3" s="5">
        <v>8.0</v>
      </c>
      <c r="E3" s="6">
        <f t="shared" si="1"/>
        <v>96</v>
      </c>
    </row>
    <row r="4">
      <c r="A4" s="16"/>
      <c r="B4" s="15" t="s">
        <v>18</v>
      </c>
      <c r="C4" s="6">
        <v>306.0</v>
      </c>
      <c r="D4" s="5">
        <v>49.0</v>
      </c>
      <c r="E4" s="6">
        <f t="shared" si="1"/>
        <v>257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487</v>
      </c>
    </row>
    <row r="8">
      <c r="A8" s="14" t="s">
        <v>21</v>
      </c>
      <c r="B8" s="15" t="s">
        <v>22</v>
      </c>
      <c r="C8" s="5">
        <v>35.0</v>
      </c>
      <c r="D8" s="5">
        <v>4.0</v>
      </c>
      <c r="E8" s="6">
        <f t="shared" ref="E8:E11" si="2">C8-D8</f>
        <v>31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15" t="s">
        <v>24</v>
      </c>
      <c r="C10" s="5">
        <v>25.0</v>
      </c>
      <c r="D10" s="5">
        <v>9.0</v>
      </c>
      <c r="E10" s="6">
        <f t="shared" si="2"/>
        <v>16</v>
      </c>
    </row>
    <row r="11">
      <c r="A11" s="16"/>
      <c r="B11" s="15" t="s">
        <v>25</v>
      </c>
      <c r="C11" s="5">
        <v>35.0</v>
      </c>
      <c r="D11" s="5">
        <v>2.0</v>
      </c>
      <c r="E11" s="6">
        <f t="shared" si="2"/>
        <v>33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103</v>
      </c>
    </row>
    <row r="14">
      <c r="A14" s="14" t="s">
        <v>27</v>
      </c>
      <c r="B14" s="15" t="s">
        <v>28</v>
      </c>
      <c r="C14" s="6">
        <v>236.0</v>
      </c>
      <c r="D14" s="5">
        <v>22.0</v>
      </c>
      <c r="E14" s="5">
        <f t="shared" ref="E14:E17" si="3">C14-D14</f>
        <v>214</v>
      </c>
    </row>
    <row r="15">
      <c r="A15" s="16"/>
      <c r="B15" s="15" t="s">
        <v>29</v>
      </c>
      <c r="C15" s="5">
        <v>6.0</v>
      </c>
      <c r="D15" s="5">
        <v>4.0</v>
      </c>
      <c r="E15" s="5">
        <f t="shared" si="3"/>
        <v>2</v>
      </c>
    </row>
    <row r="16">
      <c r="A16" s="16"/>
      <c r="B16" s="4" t="s">
        <v>30</v>
      </c>
      <c r="C16" s="6">
        <v>138.0</v>
      </c>
      <c r="D16" s="5">
        <v>25.0</v>
      </c>
      <c r="E16" s="5">
        <f t="shared" si="3"/>
        <v>113</v>
      </c>
    </row>
    <row r="17">
      <c r="A17" s="16"/>
      <c r="B17" s="24" t="s">
        <v>31</v>
      </c>
      <c r="C17" s="25">
        <v>30.0</v>
      </c>
      <c r="D17" s="26"/>
      <c r="E17" s="5">
        <f t="shared" si="3"/>
        <v>30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359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6.0</v>
      </c>
      <c r="E20" s="6">
        <f t="shared" ref="E20:E23" si="4">C20-D20</f>
        <v>10</v>
      </c>
      <c r="F20" s="12"/>
    </row>
    <row r="21">
      <c r="A21" s="16"/>
      <c r="B21" s="28" t="s">
        <v>35</v>
      </c>
      <c r="C21" s="5">
        <v>24.0</v>
      </c>
      <c r="D21" s="5">
        <v>8.0</v>
      </c>
      <c r="E21" s="6">
        <f t="shared" si="4"/>
        <v>16</v>
      </c>
      <c r="F21" s="12"/>
    </row>
    <row r="22">
      <c r="A22" s="16"/>
      <c r="B22" s="28" t="s">
        <v>36</v>
      </c>
      <c r="C22" s="5">
        <v>24.0</v>
      </c>
      <c r="D22" s="5">
        <v>7.0</v>
      </c>
      <c r="E22" s="6">
        <f t="shared" si="4"/>
        <v>17</v>
      </c>
      <c r="F22" s="12"/>
    </row>
    <row r="23">
      <c r="A23" s="16"/>
      <c r="B23" s="28" t="s">
        <v>37</v>
      </c>
      <c r="C23" s="5">
        <v>23.0</v>
      </c>
      <c r="D23" s="5">
        <v>6.0</v>
      </c>
      <c r="E23" s="6">
        <f t="shared" si="4"/>
        <v>17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60</v>
      </c>
      <c r="F25" s="12"/>
    </row>
    <row r="26">
      <c r="A26" s="30" t="s">
        <v>38</v>
      </c>
      <c r="B26" s="36" t="s">
        <v>39</v>
      </c>
      <c r="C26" s="37">
        <v>40.0</v>
      </c>
      <c r="D26" s="37"/>
      <c r="E26" s="38">
        <f>C26-D26</f>
        <v>40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40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1049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11.0</v>
      </c>
      <c r="E4" s="6">
        <f t="shared" si="1"/>
        <v>295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536</v>
      </c>
    </row>
    <row r="8">
      <c r="A8" s="14" t="s">
        <v>21</v>
      </c>
      <c r="B8" s="15" t="s">
        <v>22</v>
      </c>
      <c r="C8" s="5">
        <v>35.0</v>
      </c>
      <c r="D8" s="5">
        <v>0.0</v>
      </c>
      <c r="E8" s="6">
        <f t="shared" ref="E8:E11" si="2">C8-D8</f>
        <v>35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15" t="s">
        <v>24</v>
      </c>
      <c r="C10" s="5">
        <v>25.0</v>
      </c>
      <c r="D10" s="5">
        <v>0.0</v>
      </c>
      <c r="E10" s="6">
        <f t="shared" si="2"/>
        <v>25</v>
      </c>
    </row>
    <row r="11">
      <c r="A11" s="16"/>
      <c r="B11" s="15" t="s">
        <v>25</v>
      </c>
      <c r="C11" s="5">
        <v>35.0</v>
      </c>
      <c r="D11" s="5">
        <v>0.0</v>
      </c>
      <c r="E11" s="6">
        <f t="shared" si="2"/>
        <v>35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118</v>
      </c>
    </row>
    <row r="14">
      <c r="A14" s="14" t="s">
        <v>27</v>
      </c>
      <c r="B14" s="15" t="s">
        <v>28</v>
      </c>
      <c r="C14" s="6">
        <v>236.0</v>
      </c>
      <c r="D14" s="5">
        <v>9.0</v>
      </c>
      <c r="E14" s="5">
        <f t="shared" ref="E14:E17" si="3">C14-D14</f>
        <v>227</v>
      </c>
    </row>
    <row r="15">
      <c r="A15" s="16"/>
      <c r="B15" s="15" t="s">
        <v>29</v>
      </c>
      <c r="C15" s="5">
        <v>6.0</v>
      </c>
      <c r="D15" s="5">
        <v>2.0</v>
      </c>
      <c r="E15" s="5">
        <f t="shared" si="3"/>
        <v>4</v>
      </c>
    </row>
    <row r="16">
      <c r="A16" s="16"/>
      <c r="B16" s="4" t="s">
        <v>30</v>
      </c>
      <c r="C16" s="6">
        <v>138.0</v>
      </c>
      <c r="D16" s="5">
        <v>4.0</v>
      </c>
      <c r="E16" s="5">
        <f t="shared" si="3"/>
        <v>134</v>
      </c>
    </row>
    <row r="17">
      <c r="A17" s="16"/>
      <c r="B17" s="24" t="s">
        <v>31</v>
      </c>
      <c r="C17" s="25">
        <v>30.0</v>
      </c>
      <c r="D17" s="26">
        <v>29.0</v>
      </c>
      <c r="E17" s="5">
        <f t="shared" si="3"/>
        <v>1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366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2.0</v>
      </c>
      <c r="E20" s="6">
        <f t="shared" ref="E20:E23" si="4">C20-D20</f>
        <v>14</v>
      </c>
      <c r="F20" s="12"/>
    </row>
    <row r="21">
      <c r="A21" s="16"/>
      <c r="B21" s="28" t="s">
        <v>35</v>
      </c>
      <c r="C21" s="5">
        <v>24.0</v>
      </c>
      <c r="D21" s="5">
        <v>2.0</v>
      </c>
      <c r="E21" s="6">
        <f t="shared" si="4"/>
        <v>22</v>
      </c>
      <c r="F21" s="12"/>
    </row>
    <row r="22">
      <c r="A22" s="16"/>
      <c r="B22" s="28" t="s">
        <v>36</v>
      </c>
      <c r="C22" s="5">
        <v>24.0</v>
      </c>
      <c r="D22" s="5">
        <v>4.0</v>
      </c>
      <c r="E22" s="6">
        <f t="shared" si="4"/>
        <v>20</v>
      </c>
      <c r="F22" s="12"/>
    </row>
    <row r="23">
      <c r="A23" s="16"/>
      <c r="B23" s="28" t="s">
        <v>37</v>
      </c>
      <c r="C23" s="5">
        <v>23.0</v>
      </c>
      <c r="D23" s="5">
        <v>4.0</v>
      </c>
      <c r="E23" s="6">
        <f t="shared" si="4"/>
        <v>19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75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1095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18.0</v>
      </c>
      <c r="E2" s="6">
        <f t="shared" ref="E2:E5" si="1">C2-D2</f>
        <v>90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33.0</v>
      </c>
      <c r="E4" s="6">
        <f t="shared" si="1"/>
        <v>273</v>
      </c>
    </row>
    <row r="5">
      <c r="A5" s="16"/>
      <c r="B5" s="15" t="s">
        <v>19</v>
      </c>
      <c r="C5" s="6">
        <v>35.0</v>
      </c>
      <c r="D5" s="5">
        <v>3.0</v>
      </c>
      <c r="E5" s="6">
        <f t="shared" si="1"/>
        <v>32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496</v>
      </c>
    </row>
    <row r="8">
      <c r="A8" s="14" t="s">
        <v>21</v>
      </c>
      <c r="B8" s="15" t="s">
        <v>22</v>
      </c>
      <c r="C8" s="5">
        <v>35.0</v>
      </c>
      <c r="D8" s="5">
        <v>5.0</v>
      </c>
      <c r="E8" s="6">
        <f t="shared" ref="E8:E11" si="2">C8-D8</f>
        <v>30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15" t="s">
        <v>24</v>
      </c>
      <c r="C10" s="5">
        <v>25.0</v>
      </c>
      <c r="D10" s="5">
        <v>4.0</v>
      </c>
      <c r="E10" s="6">
        <f t="shared" si="2"/>
        <v>21</v>
      </c>
    </row>
    <row r="11">
      <c r="A11" s="16"/>
      <c r="B11" s="15" t="s">
        <v>25</v>
      </c>
      <c r="C11" s="5">
        <v>35.0</v>
      </c>
      <c r="D11" s="5">
        <v>2.0</v>
      </c>
      <c r="E11" s="6">
        <f t="shared" si="2"/>
        <v>33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106</v>
      </c>
    </row>
    <row r="14">
      <c r="A14" s="14" t="s">
        <v>27</v>
      </c>
      <c r="B14" s="15" t="s">
        <v>28</v>
      </c>
      <c r="C14" s="6">
        <v>236.0</v>
      </c>
      <c r="D14" s="5">
        <v>15.0</v>
      </c>
      <c r="E14" s="5">
        <f t="shared" ref="E14:E17" si="3">C14-D14</f>
        <v>221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6.0</v>
      </c>
      <c r="E16" s="5">
        <f t="shared" si="3"/>
        <v>132</v>
      </c>
    </row>
    <row r="17">
      <c r="A17" s="16"/>
      <c r="B17" s="24" t="s">
        <v>31</v>
      </c>
      <c r="C17" s="25">
        <v>30.0</v>
      </c>
      <c r="D17" s="5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353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3.0</v>
      </c>
      <c r="E20" s="6">
        <f t="shared" ref="E20:E23" si="4">C20-D20</f>
        <v>13</v>
      </c>
      <c r="F20" s="12"/>
    </row>
    <row r="21">
      <c r="A21" s="16"/>
      <c r="B21" s="28" t="s">
        <v>35</v>
      </c>
      <c r="C21" s="5">
        <v>24.0</v>
      </c>
      <c r="D21" s="5">
        <v>0.0</v>
      </c>
      <c r="E21" s="6">
        <f t="shared" si="4"/>
        <v>24</v>
      </c>
      <c r="F21" s="12"/>
    </row>
    <row r="22">
      <c r="A22" s="16"/>
      <c r="B22" s="28" t="s">
        <v>36</v>
      </c>
      <c r="C22" s="5">
        <v>24.0</v>
      </c>
      <c r="D22" s="5">
        <v>4.0</v>
      </c>
      <c r="E22" s="6">
        <f t="shared" si="4"/>
        <v>20</v>
      </c>
      <c r="F22" s="12"/>
    </row>
    <row r="23">
      <c r="A23" s="16"/>
      <c r="B23" s="28" t="s">
        <v>37</v>
      </c>
      <c r="C23" s="5">
        <v>23.0</v>
      </c>
      <c r="D23" s="5">
        <v>3.0</v>
      </c>
      <c r="E23" s="6">
        <f t="shared" si="4"/>
        <v>20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77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1032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23.0</v>
      </c>
      <c r="E2" s="6">
        <f t="shared" ref="E2:E5" si="1">C2-D2</f>
        <v>85</v>
      </c>
    </row>
    <row r="3">
      <c r="A3" s="16"/>
      <c r="B3" s="15" t="s">
        <v>17</v>
      </c>
      <c r="C3" s="6">
        <v>104.0</v>
      </c>
      <c r="D3" s="5">
        <v>35.0</v>
      </c>
      <c r="E3" s="6">
        <f t="shared" si="1"/>
        <v>69</v>
      </c>
    </row>
    <row r="4">
      <c r="A4" s="16"/>
      <c r="B4" s="15" t="s">
        <v>18</v>
      </c>
      <c r="C4" s="6">
        <v>306.0</v>
      </c>
      <c r="D4" s="5">
        <v>103.0</v>
      </c>
      <c r="E4" s="6">
        <f t="shared" si="1"/>
        <v>203</v>
      </c>
    </row>
    <row r="5">
      <c r="A5" s="16"/>
      <c r="B5" s="15" t="s">
        <v>19</v>
      </c>
      <c r="C5" s="6">
        <v>35.0</v>
      </c>
      <c r="D5" s="5">
        <v>28.0</v>
      </c>
      <c r="E5" s="6">
        <f t="shared" si="1"/>
        <v>7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364</v>
      </c>
    </row>
    <row r="8">
      <c r="A8" s="14" t="s">
        <v>21</v>
      </c>
      <c r="B8" s="15" t="s">
        <v>22</v>
      </c>
      <c r="C8" s="5">
        <v>35.0</v>
      </c>
      <c r="D8" s="5">
        <v>20.0</v>
      </c>
      <c r="E8" s="6">
        <f t="shared" ref="E8:E11" si="2">C8-D8</f>
        <v>15</v>
      </c>
    </row>
    <row r="9">
      <c r="A9" s="16"/>
      <c r="B9" s="15" t="s">
        <v>23</v>
      </c>
      <c r="C9" s="5">
        <f>25</f>
        <v>25</v>
      </c>
      <c r="D9" s="5">
        <v>5.0</v>
      </c>
      <c r="E9" s="6">
        <f t="shared" si="2"/>
        <v>20</v>
      </c>
    </row>
    <row r="10">
      <c r="A10" s="16"/>
      <c r="B10" s="15" t="s">
        <v>24</v>
      </c>
      <c r="C10" s="5">
        <v>25.0</v>
      </c>
      <c r="D10" s="5">
        <v>8.0</v>
      </c>
      <c r="E10" s="6">
        <f t="shared" si="2"/>
        <v>17</v>
      </c>
    </row>
    <row r="11">
      <c r="A11" s="16"/>
      <c r="B11" s="15" t="s">
        <v>25</v>
      </c>
      <c r="C11" s="5">
        <v>35.0</v>
      </c>
      <c r="D11" s="5">
        <v>13.0</v>
      </c>
      <c r="E11" s="6">
        <f t="shared" si="2"/>
        <v>22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74</v>
      </c>
    </row>
    <row r="14">
      <c r="A14" s="14" t="s">
        <v>27</v>
      </c>
      <c r="B14" s="15" t="s">
        <v>28</v>
      </c>
      <c r="C14" s="6">
        <v>236.0</v>
      </c>
      <c r="D14" s="5">
        <v>173.0</v>
      </c>
      <c r="E14" s="5">
        <f t="shared" ref="E14:E17" si="3">C14-D14</f>
        <v>63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109.0</v>
      </c>
      <c r="E16" s="5">
        <f t="shared" si="3"/>
        <v>29</v>
      </c>
    </row>
    <row r="17">
      <c r="A17" s="16"/>
      <c r="B17" s="24" t="s">
        <v>31</v>
      </c>
      <c r="C17" s="25">
        <v>30.0</v>
      </c>
      <c r="D17" s="5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92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16.0</v>
      </c>
      <c r="E20" s="6">
        <f t="shared" ref="E20:E23" si="4">C20-D20</f>
        <v>0</v>
      </c>
      <c r="F20" s="12"/>
    </row>
    <row r="21">
      <c r="A21" s="16"/>
      <c r="B21" s="28" t="s">
        <v>35</v>
      </c>
      <c r="C21" s="5">
        <v>24.0</v>
      </c>
      <c r="D21" s="5">
        <v>24.0</v>
      </c>
      <c r="E21" s="6">
        <f t="shared" si="4"/>
        <v>0</v>
      </c>
      <c r="F21" s="12"/>
    </row>
    <row r="22">
      <c r="A22" s="16"/>
      <c r="B22" s="28" t="s">
        <v>36</v>
      </c>
      <c r="C22" s="5">
        <v>24.0</v>
      </c>
      <c r="D22" s="5">
        <v>23.0</v>
      </c>
      <c r="E22" s="6">
        <f t="shared" si="4"/>
        <v>1</v>
      </c>
      <c r="F22" s="12"/>
    </row>
    <row r="23">
      <c r="A23" s="16"/>
      <c r="B23" s="28" t="s">
        <v>37</v>
      </c>
      <c r="C23" s="5">
        <v>23.0</v>
      </c>
      <c r="D23" s="5">
        <v>22.0</v>
      </c>
      <c r="E23" s="6">
        <f t="shared" si="4"/>
        <v>1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2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532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13.0</v>
      </c>
      <c r="E3" s="6">
        <f t="shared" si="1"/>
        <v>91</v>
      </c>
    </row>
    <row r="4">
      <c r="A4" s="16"/>
      <c r="B4" s="15" t="s">
        <v>18</v>
      </c>
      <c r="C4" s="6">
        <v>306.0</v>
      </c>
      <c r="D4" s="5">
        <v>26.0</v>
      </c>
      <c r="E4" s="6">
        <f t="shared" si="1"/>
        <v>280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506</v>
      </c>
    </row>
    <row r="8">
      <c r="A8" s="14" t="s">
        <v>21</v>
      </c>
      <c r="B8" s="15" t="s">
        <v>22</v>
      </c>
      <c r="C8" s="5">
        <v>35.0</v>
      </c>
      <c r="D8" s="5">
        <v>19.0</v>
      </c>
      <c r="E8" s="6">
        <f t="shared" ref="E8:E11" si="2">C8-D8</f>
        <v>16</v>
      </c>
    </row>
    <row r="9">
      <c r="A9" s="16"/>
      <c r="B9" s="15" t="s">
        <v>23</v>
      </c>
      <c r="C9" s="5">
        <f>25</f>
        <v>25</v>
      </c>
      <c r="D9" s="5">
        <v>8.0</v>
      </c>
      <c r="E9" s="6">
        <f t="shared" si="2"/>
        <v>17</v>
      </c>
    </row>
    <row r="10">
      <c r="A10" s="16"/>
      <c r="B10" s="15" t="s">
        <v>24</v>
      </c>
      <c r="C10" s="5">
        <v>25.0</v>
      </c>
      <c r="D10" s="5">
        <v>9.0</v>
      </c>
      <c r="E10" s="6">
        <f t="shared" si="2"/>
        <v>16</v>
      </c>
    </row>
    <row r="11">
      <c r="A11" s="16"/>
      <c r="B11" s="15" t="s">
        <v>25</v>
      </c>
      <c r="C11" s="5">
        <v>35.0</v>
      </c>
      <c r="D11" s="5">
        <v>19.0</v>
      </c>
      <c r="E11" s="6">
        <f t="shared" si="2"/>
        <v>16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65</v>
      </c>
    </row>
    <row r="14">
      <c r="A14" s="14" t="s">
        <v>27</v>
      </c>
      <c r="B14" s="15" t="s">
        <v>28</v>
      </c>
      <c r="C14" s="6">
        <v>236.0</v>
      </c>
      <c r="D14" s="5">
        <v>118.0</v>
      </c>
      <c r="E14" s="5">
        <f t="shared" ref="E14:E17" si="3">C14-D14</f>
        <v>118</v>
      </c>
    </row>
    <row r="15">
      <c r="A15" s="16"/>
      <c r="B15" s="15" t="s">
        <v>29</v>
      </c>
      <c r="C15" s="5"/>
      <c r="D15" s="5"/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98.0</v>
      </c>
      <c r="E16" s="5">
        <f t="shared" si="3"/>
        <v>40</v>
      </c>
    </row>
    <row r="17">
      <c r="A17" s="16"/>
      <c r="B17" s="24" t="s">
        <v>31</v>
      </c>
      <c r="C17" s="25">
        <v>30.0</v>
      </c>
      <c r="D17" s="26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158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16.0</v>
      </c>
      <c r="E20" s="6">
        <f t="shared" ref="E20:E23" si="4">C20-D20</f>
        <v>0</v>
      </c>
      <c r="F20" s="12"/>
    </row>
    <row r="21">
      <c r="A21" s="16"/>
      <c r="B21" s="28" t="s">
        <v>35</v>
      </c>
      <c r="C21" s="5">
        <v>24.0</v>
      </c>
      <c r="D21" s="5">
        <v>24.0</v>
      </c>
      <c r="E21" s="6">
        <f t="shared" si="4"/>
        <v>0</v>
      </c>
      <c r="F21" s="12"/>
    </row>
    <row r="22">
      <c r="A22" s="16"/>
      <c r="B22" s="28" t="s">
        <v>36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37</v>
      </c>
      <c r="C23" s="5">
        <v>23.0</v>
      </c>
      <c r="D23" s="5">
        <v>23.0</v>
      </c>
      <c r="E23" s="6">
        <f t="shared" si="4"/>
        <v>0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0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729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0.0</v>
      </c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>
        <v>0.0</v>
      </c>
      <c r="E3" s="6">
        <f t="shared" si="1"/>
        <v>104</v>
      </c>
    </row>
    <row r="4">
      <c r="A4" s="16"/>
      <c r="B4" s="15" t="s">
        <v>18</v>
      </c>
      <c r="C4" s="6">
        <v>306.0</v>
      </c>
      <c r="D4" s="5">
        <v>6.0</v>
      </c>
      <c r="E4" s="6">
        <f t="shared" si="1"/>
        <v>300</v>
      </c>
    </row>
    <row r="5">
      <c r="A5" s="16"/>
      <c r="B5" s="15" t="s">
        <v>19</v>
      </c>
      <c r="C5" s="6">
        <v>35.0</v>
      </c>
      <c r="D5" s="5">
        <v>0.0</v>
      </c>
      <c r="E5" s="6">
        <f t="shared" si="1"/>
        <v>35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547</v>
      </c>
    </row>
    <row r="8">
      <c r="A8" s="14" t="s">
        <v>21</v>
      </c>
      <c r="B8" s="15" t="s">
        <v>22</v>
      </c>
      <c r="C8" s="5">
        <v>35.0</v>
      </c>
      <c r="D8" s="5">
        <v>1.0</v>
      </c>
      <c r="E8" s="6">
        <f t="shared" ref="E8:E11" si="2">C8-D8</f>
        <v>34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15" t="s">
        <v>24</v>
      </c>
      <c r="C10" s="5">
        <v>25.0</v>
      </c>
      <c r="D10" s="5">
        <v>4.0</v>
      </c>
      <c r="E10" s="6">
        <f t="shared" si="2"/>
        <v>21</v>
      </c>
    </row>
    <row r="11">
      <c r="A11" s="16"/>
      <c r="B11" s="15" t="s">
        <v>25</v>
      </c>
      <c r="C11" s="5">
        <v>35.0</v>
      </c>
      <c r="D11" s="5">
        <v>-2.0</v>
      </c>
      <c r="E11" s="6">
        <f t="shared" si="2"/>
        <v>37</v>
      </c>
    </row>
    <row r="12">
      <c r="A12" s="16"/>
      <c r="B12" s="15"/>
      <c r="C12" s="17"/>
      <c r="D12" s="5">
        <v>-15.0</v>
      </c>
      <c r="E12" s="6">
        <f>C13-D12</f>
        <v>15</v>
      </c>
    </row>
    <row r="13">
      <c r="A13" s="18"/>
      <c r="B13" s="23" t="s">
        <v>26</v>
      </c>
      <c r="C13" s="20"/>
      <c r="D13" s="21"/>
      <c r="E13" s="22">
        <f>SUM(E8:E12)</f>
        <v>131</v>
      </c>
    </row>
    <row r="14">
      <c r="A14" s="14" t="s">
        <v>27</v>
      </c>
      <c r="B14" s="15" t="s">
        <v>28</v>
      </c>
      <c r="C14" s="6">
        <v>236.0</v>
      </c>
      <c r="D14" s="5">
        <v>6.0</v>
      </c>
      <c r="E14" s="5">
        <f t="shared" ref="E14:E17" si="3">C14-D14</f>
        <v>230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5.0</v>
      </c>
      <c r="E16" s="5">
        <f t="shared" si="3"/>
        <v>133</v>
      </c>
    </row>
    <row r="17">
      <c r="A17" s="16"/>
      <c r="B17" s="24" t="s">
        <v>31</v>
      </c>
      <c r="C17" s="25">
        <v>30.0</v>
      </c>
      <c r="D17" s="26">
        <v>-15.0</v>
      </c>
      <c r="E17" s="5">
        <f t="shared" si="3"/>
        <v>45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408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0.0</v>
      </c>
      <c r="E20" s="6">
        <f t="shared" ref="E20:E23" si="4">C20-D20</f>
        <v>16</v>
      </c>
      <c r="F20" s="12"/>
    </row>
    <row r="21">
      <c r="A21" s="16"/>
      <c r="B21" s="28" t="s">
        <v>35</v>
      </c>
      <c r="C21" s="5">
        <v>24.0</v>
      </c>
      <c r="D21" s="5">
        <v>0.0</v>
      </c>
      <c r="E21" s="6">
        <f t="shared" si="4"/>
        <v>24</v>
      </c>
      <c r="F21" s="12"/>
    </row>
    <row r="22">
      <c r="A22" s="16"/>
      <c r="B22" s="28" t="s">
        <v>36</v>
      </c>
      <c r="C22" s="5">
        <v>24.0</v>
      </c>
      <c r="D22" s="5">
        <v>0.0</v>
      </c>
      <c r="E22" s="6">
        <f t="shared" si="4"/>
        <v>24</v>
      </c>
      <c r="F22" s="12"/>
    </row>
    <row r="23">
      <c r="A23" s="16"/>
      <c r="B23" s="28" t="s">
        <v>37</v>
      </c>
      <c r="C23" s="5">
        <v>23.0</v>
      </c>
      <c r="D23" s="5">
        <v>0.0</v>
      </c>
      <c r="E23" s="6">
        <f t="shared" si="4"/>
        <v>23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87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-38.0</v>
      </c>
      <c r="E26" s="38">
        <f t="shared" ref="E26:E27" si="5">C26-D26</f>
        <v>78</v>
      </c>
    </row>
    <row r="27">
      <c r="A27" s="16"/>
      <c r="B27" s="39"/>
      <c r="C27" s="40"/>
      <c r="D27" s="40">
        <v>-70.0</v>
      </c>
      <c r="E27" s="38">
        <f t="shared" si="5"/>
        <v>70</v>
      </c>
    </row>
    <row r="28">
      <c r="A28" s="18"/>
      <c r="B28" s="41" t="s">
        <v>20</v>
      </c>
      <c r="C28" s="33"/>
      <c r="D28" s="34"/>
      <c r="E28" s="42">
        <f>SUM(E26:E27)</f>
        <v>148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1321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7.0</v>
      </c>
      <c r="E2" s="6">
        <f t="shared" ref="E2:E5" si="1">C2-D2</f>
        <v>101</v>
      </c>
    </row>
    <row r="3">
      <c r="A3" s="16"/>
      <c r="B3" s="15" t="s">
        <v>17</v>
      </c>
      <c r="C3" s="6">
        <v>104.0</v>
      </c>
      <c r="D3" s="5">
        <v>11.0</v>
      </c>
      <c r="E3" s="6">
        <f t="shared" si="1"/>
        <v>93</v>
      </c>
    </row>
    <row r="4">
      <c r="A4" s="16"/>
      <c r="B4" s="15" t="s">
        <v>18</v>
      </c>
      <c r="C4" s="6">
        <v>306.0</v>
      </c>
      <c r="D4" s="5">
        <v>48.0</v>
      </c>
      <c r="E4" s="6">
        <f t="shared" si="1"/>
        <v>258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486</v>
      </c>
    </row>
    <row r="8">
      <c r="A8" s="14" t="s">
        <v>21</v>
      </c>
      <c r="B8" s="15" t="s">
        <v>22</v>
      </c>
      <c r="C8" s="5">
        <v>35.0</v>
      </c>
      <c r="D8" s="5">
        <v>15.0</v>
      </c>
      <c r="E8" s="6">
        <f t="shared" ref="E8:E11" si="2">C8-D8</f>
        <v>20</v>
      </c>
    </row>
    <row r="9">
      <c r="A9" s="16"/>
      <c r="B9" s="15" t="s">
        <v>23</v>
      </c>
      <c r="C9" s="5">
        <f>25</f>
        <v>25</v>
      </c>
      <c r="D9" s="5">
        <v>6.0</v>
      </c>
      <c r="E9" s="6">
        <f t="shared" si="2"/>
        <v>19</v>
      </c>
    </row>
    <row r="10">
      <c r="A10" s="16"/>
      <c r="B10" s="15" t="s">
        <v>24</v>
      </c>
      <c r="C10" s="5">
        <v>25.0</v>
      </c>
      <c r="D10" s="5">
        <v>8.0</v>
      </c>
      <c r="E10" s="6">
        <f t="shared" si="2"/>
        <v>17</v>
      </c>
    </row>
    <row r="11">
      <c r="A11" s="16"/>
      <c r="B11" s="15" t="s">
        <v>25</v>
      </c>
      <c r="C11" s="5">
        <v>35.0</v>
      </c>
      <c r="D11" s="5">
        <v>22.0</v>
      </c>
      <c r="E11" s="6">
        <f t="shared" si="2"/>
        <v>13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69</v>
      </c>
    </row>
    <row r="14">
      <c r="A14" s="14" t="s">
        <v>27</v>
      </c>
      <c r="B14" s="15" t="s">
        <v>28</v>
      </c>
      <c r="C14" s="6">
        <v>236.0</v>
      </c>
      <c r="D14" s="5">
        <v>86.0</v>
      </c>
      <c r="E14" s="5">
        <f t="shared" ref="E14:E17" si="3">C14-D14</f>
        <v>150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51.0</v>
      </c>
      <c r="E16" s="5">
        <f t="shared" si="3"/>
        <v>87</v>
      </c>
    </row>
    <row r="17">
      <c r="A17" s="16"/>
      <c r="B17" s="24" t="s">
        <v>31</v>
      </c>
      <c r="C17" s="25">
        <v>30.0</v>
      </c>
      <c r="D17" s="26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237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13.0</v>
      </c>
      <c r="E20" s="6">
        <f t="shared" ref="E20:E23" si="4">C20-D20</f>
        <v>3</v>
      </c>
      <c r="F20" s="12"/>
    </row>
    <row r="21">
      <c r="A21" s="16"/>
      <c r="B21" s="28" t="s">
        <v>35</v>
      </c>
      <c r="C21" s="5">
        <v>24.0</v>
      </c>
      <c r="D21" s="5">
        <v>16.0</v>
      </c>
      <c r="E21" s="6">
        <f t="shared" si="4"/>
        <v>8</v>
      </c>
      <c r="F21" s="12"/>
    </row>
    <row r="22">
      <c r="A22" s="16"/>
      <c r="B22" s="28" t="s">
        <v>36</v>
      </c>
      <c r="C22" s="5">
        <v>24.0</v>
      </c>
      <c r="D22" s="5">
        <v>10.0</v>
      </c>
      <c r="E22" s="6">
        <f t="shared" si="4"/>
        <v>14</v>
      </c>
      <c r="F22" s="12"/>
    </row>
    <row r="23">
      <c r="A23" s="16"/>
      <c r="B23" s="28" t="s">
        <v>37</v>
      </c>
      <c r="C23" s="5">
        <v>23.0</v>
      </c>
      <c r="D23" s="5">
        <v>19.0</v>
      </c>
      <c r="E23" s="6">
        <f t="shared" si="4"/>
        <v>4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29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/>
      <c r="D29" s="5"/>
      <c r="E29" s="6">
        <f>C29-D29</f>
        <v>0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0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821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30.0</v>
      </c>
      <c r="E2" s="6">
        <f t="shared" ref="E2:E5" si="1">C2-D2</f>
        <v>78</v>
      </c>
    </row>
    <row r="3">
      <c r="A3" s="16"/>
      <c r="B3" s="15" t="s">
        <v>17</v>
      </c>
      <c r="C3" s="6">
        <v>104.0</v>
      </c>
      <c r="D3" s="5">
        <v>30.0</v>
      </c>
      <c r="E3" s="6">
        <f t="shared" si="1"/>
        <v>74</v>
      </c>
    </row>
    <row r="4">
      <c r="A4" s="16"/>
      <c r="B4" s="15" t="s">
        <v>18</v>
      </c>
      <c r="C4" s="6">
        <v>306.0</v>
      </c>
      <c r="D4" s="5">
        <v>87.0</v>
      </c>
      <c r="E4" s="6">
        <f t="shared" si="1"/>
        <v>219</v>
      </c>
    </row>
    <row r="5">
      <c r="A5" s="16"/>
      <c r="B5" s="15" t="s">
        <v>19</v>
      </c>
      <c r="C5" s="6">
        <v>35.0</v>
      </c>
      <c r="D5" s="5">
        <v>10.0</v>
      </c>
      <c r="E5" s="6">
        <f t="shared" si="1"/>
        <v>25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396</v>
      </c>
    </row>
    <row r="8">
      <c r="A8" s="14" t="s">
        <v>21</v>
      </c>
      <c r="B8" s="15" t="s">
        <v>22</v>
      </c>
      <c r="C8" s="5">
        <v>35.0</v>
      </c>
      <c r="D8" s="5">
        <v>25.0</v>
      </c>
      <c r="E8" s="6">
        <f t="shared" ref="E8:E11" si="2">C8-D8</f>
        <v>10</v>
      </c>
    </row>
    <row r="9">
      <c r="A9" s="16"/>
      <c r="B9" s="15" t="s">
        <v>23</v>
      </c>
      <c r="C9" s="5">
        <f>25</f>
        <v>25</v>
      </c>
      <c r="D9" s="5">
        <v>15.0</v>
      </c>
      <c r="E9" s="6">
        <f t="shared" si="2"/>
        <v>10</v>
      </c>
    </row>
    <row r="10">
      <c r="A10" s="16"/>
      <c r="B10" s="15" t="s">
        <v>24</v>
      </c>
      <c r="C10" s="5">
        <v>25.0</v>
      </c>
      <c r="D10" s="5">
        <v>15.0</v>
      </c>
      <c r="E10" s="6">
        <f t="shared" si="2"/>
        <v>10</v>
      </c>
    </row>
    <row r="11">
      <c r="A11" s="16"/>
      <c r="B11" s="15" t="s">
        <v>25</v>
      </c>
      <c r="C11" s="5">
        <v>35.0</v>
      </c>
      <c r="D11" s="5">
        <v>25.0</v>
      </c>
      <c r="E11" s="6">
        <f t="shared" si="2"/>
        <v>10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40</v>
      </c>
    </row>
    <row r="14">
      <c r="A14" s="14" t="s">
        <v>27</v>
      </c>
      <c r="B14" s="15" t="s">
        <v>28</v>
      </c>
      <c r="C14" s="6">
        <v>236.0</v>
      </c>
      <c r="D14" s="5">
        <v>117.0</v>
      </c>
      <c r="E14" s="5">
        <f t="shared" ref="E14:E17" si="3">C14-D14</f>
        <v>119</v>
      </c>
    </row>
    <row r="15">
      <c r="A15" s="16"/>
      <c r="B15" s="15" t="s">
        <v>29</v>
      </c>
      <c r="C15" s="5"/>
      <c r="D15" s="5"/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117.0</v>
      </c>
      <c r="E16" s="5">
        <f t="shared" si="3"/>
        <v>21</v>
      </c>
    </row>
    <row r="17">
      <c r="A17" s="16"/>
      <c r="B17" s="24" t="s">
        <v>31</v>
      </c>
      <c r="C17" s="25">
        <v>30.0</v>
      </c>
      <c r="D17" s="26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140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16.0</v>
      </c>
      <c r="E20" s="6">
        <f t="shared" ref="E20:E23" si="4">C20-D20</f>
        <v>0</v>
      </c>
      <c r="F20" s="12"/>
    </row>
    <row r="21">
      <c r="A21" s="16"/>
      <c r="B21" s="28" t="s">
        <v>35</v>
      </c>
      <c r="C21" s="5">
        <v>24.0</v>
      </c>
      <c r="D21" s="5">
        <v>24.0</v>
      </c>
      <c r="E21" s="6">
        <f t="shared" si="4"/>
        <v>0</v>
      </c>
      <c r="F21" s="12"/>
    </row>
    <row r="22">
      <c r="A22" s="16"/>
      <c r="B22" s="28" t="s">
        <v>36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37</v>
      </c>
      <c r="C23" s="5">
        <v>23.0</v>
      </c>
      <c r="D23" s="5">
        <v>23.0</v>
      </c>
      <c r="E23" s="6">
        <f t="shared" si="4"/>
        <v>0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0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>
        <v>24.0</v>
      </c>
      <c r="D29" s="5"/>
      <c r="E29" s="6">
        <f>C29-D29</f>
        <v>24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24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600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1.0</v>
      </c>
      <c r="E2" s="6">
        <f t="shared" ref="E2:E5" si="1">C2-D2</f>
        <v>107</v>
      </c>
    </row>
    <row r="3">
      <c r="A3" s="16"/>
      <c r="B3" s="15" t="s">
        <v>17</v>
      </c>
      <c r="C3" s="6">
        <v>104.0</v>
      </c>
      <c r="D3" s="5">
        <v>8.0</v>
      </c>
      <c r="E3" s="6">
        <f t="shared" si="1"/>
        <v>96</v>
      </c>
    </row>
    <row r="4">
      <c r="A4" s="16"/>
      <c r="B4" s="15" t="s">
        <v>18</v>
      </c>
      <c r="C4" s="6">
        <v>306.0</v>
      </c>
      <c r="D4" s="5">
        <v>46.0</v>
      </c>
      <c r="E4" s="6">
        <f t="shared" si="1"/>
        <v>260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497</v>
      </c>
    </row>
    <row r="8">
      <c r="A8" s="14" t="s">
        <v>21</v>
      </c>
      <c r="B8" s="15" t="s">
        <v>22</v>
      </c>
      <c r="C8" s="5">
        <v>35.0</v>
      </c>
      <c r="D8" s="5">
        <v>18.0</v>
      </c>
      <c r="E8" s="6">
        <f t="shared" ref="E8:E11" si="2">C8-D8</f>
        <v>17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15" t="s">
        <v>24</v>
      </c>
      <c r="C10" s="5">
        <v>25.0</v>
      </c>
      <c r="D10" s="5">
        <v>9.0</v>
      </c>
      <c r="E10" s="6">
        <f t="shared" si="2"/>
        <v>16</v>
      </c>
    </row>
    <row r="11">
      <c r="A11" s="16"/>
      <c r="B11" s="15" t="s">
        <v>25</v>
      </c>
      <c r="C11" s="5">
        <v>35.0</v>
      </c>
      <c r="D11" s="5">
        <v>12.0</v>
      </c>
      <c r="E11" s="6">
        <f t="shared" si="2"/>
        <v>23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80</v>
      </c>
    </row>
    <row r="14">
      <c r="A14" s="14" t="s">
        <v>27</v>
      </c>
      <c r="B14" s="15" t="s">
        <v>28</v>
      </c>
      <c r="C14" s="6">
        <v>236.0</v>
      </c>
      <c r="D14" s="5">
        <v>58.0</v>
      </c>
      <c r="E14" s="5">
        <f t="shared" ref="E14:E17" si="3">C14-D14</f>
        <v>178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55.0</v>
      </c>
      <c r="E16" s="5">
        <f t="shared" si="3"/>
        <v>83</v>
      </c>
    </row>
    <row r="17">
      <c r="A17" s="16"/>
      <c r="B17" s="24" t="s">
        <v>31</v>
      </c>
      <c r="C17" s="25">
        <v>30.0</v>
      </c>
      <c r="D17" s="26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261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10.0</v>
      </c>
      <c r="E20" s="6">
        <f t="shared" ref="E20:E23" si="4">C20-D20</f>
        <v>6</v>
      </c>
      <c r="F20" s="12"/>
    </row>
    <row r="21">
      <c r="A21" s="16"/>
      <c r="B21" s="28" t="s">
        <v>35</v>
      </c>
      <c r="C21" s="5">
        <v>24.0</v>
      </c>
      <c r="D21" s="5">
        <v>24.0</v>
      </c>
      <c r="E21" s="6">
        <f t="shared" si="4"/>
        <v>0</v>
      </c>
      <c r="F21" s="12"/>
    </row>
    <row r="22">
      <c r="A22" s="16"/>
      <c r="B22" s="28" t="s">
        <v>36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37</v>
      </c>
      <c r="C23" s="5">
        <v>23.0</v>
      </c>
      <c r="D23" s="5">
        <v>10.0</v>
      </c>
      <c r="E23" s="6">
        <f t="shared" si="4"/>
        <v>13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19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>
        <v>29.0</v>
      </c>
      <c r="D29" s="5"/>
      <c r="E29" s="6">
        <f>C29-D29</f>
        <v>29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29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886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1.0</v>
      </c>
      <c r="E3" s="6">
        <f t="shared" si="1"/>
        <v>103</v>
      </c>
    </row>
    <row r="4">
      <c r="A4" s="16"/>
      <c r="B4" s="15" t="s">
        <v>18</v>
      </c>
      <c r="C4" s="6">
        <v>306.0</v>
      </c>
      <c r="D4" s="5">
        <v>40.0</v>
      </c>
      <c r="E4" s="6">
        <f t="shared" si="1"/>
        <v>266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509</v>
      </c>
    </row>
    <row r="8">
      <c r="A8" s="14" t="s">
        <v>21</v>
      </c>
      <c r="B8" s="15" t="s">
        <v>22</v>
      </c>
      <c r="C8" s="5">
        <v>35.0</v>
      </c>
      <c r="D8" s="5">
        <v>13.0</v>
      </c>
      <c r="E8" s="6">
        <f t="shared" ref="E8:E11" si="2">C8-D8</f>
        <v>22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15" t="s">
        <v>24</v>
      </c>
      <c r="C10" s="5">
        <v>25.0</v>
      </c>
      <c r="D10" s="5">
        <v>3.0</v>
      </c>
      <c r="E10" s="6">
        <f t="shared" si="2"/>
        <v>22</v>
      </c>
    </row>
    <row r="11">
      <c r="A11" s="16"/>
      <c r="B11" s="15" t="s">
        <v>25</v>
      </c>
      <c r="C11" s="5">
        <v>35.0</v>
      </c>
      <c r="D11" s="5">
        <v>8.0</v>
      </c>
      <c r="E11" s="6">
        <f t="shared" si="2"/>
        <v>27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89</v>
      </c>
    </row>
    <row r="14">
      <c r="A14" s="14" t="s">
        <v>27</v>
      </c>
      <c r="B14" s="15" t="s">
        <v>28</v>
      </c>
      <c r="C14" s="6">
        <v>236.0</v>
      </c>
      <c r="D14" s="5">
        <v>33.0</v>
      </c>
      <c r="E14" s="5">
        <f t="shared" ref="E14:E17" si="3">C14-D14</f>
        <v>203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25.0</v>
      </c>
      <c r="E16" s="5">
        <f t="shared" si="3"/>
        <v>113</v>
      </c>
    </row>
    <row r="17">
      <c r="A17" s="16"/>
      <c r="B17" s="24" t="s">
        <v>31</v>
      </c>
      <c r="C17" s="25">
        <v>30.0</v>
      </c>
      <c r="D17" s="5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316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16.0</v>
      </c>
      <c r="E20" s="6">
        <f t="shared" ref="E20:E23" si="4">C20-D20</f>
        <v>0</v>
      </c>
      <c r="F20" s="12"/>
    </row>
    <row r="21">
      <c r="A21" s="16"/>
      <c r="B21" s="28" t="s">
        <v>35</v>
      </c>
      <c r="C21" s="5">
        <v>24.0</v>
      </c>
      <c r="D21" s="5">
        <v>3.0</v>
      </c>
      <c r="E21" s="6">
        <f t="shared" si="4"/>
        <v>21</v>
      </c>
      <c r="F21" s="12"/>
    </row>
    <row r="22">
      <c r="A22" s="16"/>
      <c r="B22" s="28" t="s">
        <v>36</v>
      </c>
      <c r="C22" s="5">
        <v>24.0</v>
      </c>
      <c r="D22" s="5">
        <v>12.0</v>
      </c>
      <c r="E22" s="6">
        <f t="shared" si="4"/>
        <v>12</v>
      </c>
      <c r="F22" s="12"/>
    </row>
    <row r="23">
      <c r="A23" s="16"/>
      <c r="B23" s="28" t="s">
        <v>37</v>
      </c>
      <c r="C23" s="5">
        <v>23.0</v>
      </c>
      <c r="D23" s="5">
        <v>8.0</v>
      </c>
      <c r="E23" s="6">
        <f t="shared" si="4"/>
        <v>15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48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>
        <v>29.0</v>
      </c>
      <c r="D29" s="5"/>
      <c r="E29" s="6">
        <f>C29-D29</f>
        <v>29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29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991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6.0</v>
      </c>
      <c r="E3" s="6">
        <f t="shared" si="1"/>
        <v>98</v>
      </c>
    </row>
    <row r="4">
      <c r="A4" s="16"/>
      <c r="B4" s="15" t="s">
        <v>18</v>
      </c>
      <c r="C4" s="6">
        <v>306.0</v>
      </c>
      <c r="D4" s="5">
        <v>48.0</v>
      </c>
      <c r="E4" s="6">
        <f t="shared" si="1"/>
        <v>258</v>
      </c>
    </row>
    <row r="5">
      <c r="A5" s="16"/>
      <c r="B5" s="15" t="s">
        <v>19</v>
      </c>
      <c r="C5" s="6">
        <v>35.0</v>
      </c>
      <c r="D5" s="5">
        <v>4.0</v>
      </c>
      <c r="E5" s="6">
        <f t="shared" si="1"/>
        <v>31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490</v>
      </c>
    </row>
    <row r="8">
      <c r="A8" s="14" t="s">
        <v>21</v>
      </c>
      <c r="B8" s="15" t="s">
        <v>22</v>
      </c>
      <c r="C8" s="5">
        <v>35.0</v>
      </c>
      <c r="D8" s="5">
        <v>18.0</v>
      </c>
      <c r="E8" s="6">
        <f t="shared" ref="E8:E11" si="2">C8-D8</f>
        <v>17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15" t="s">
        <v>24</v>
      </c>
      <c r="C10" s="5">
        <v>25.0</v>
      </c>
      <c r="D10" s="5">
        <v>9.0</v>
      </c>
      <c r="E10" s="6">
        <f t="shared" si="2"/>
        <v>16</v>
      </c>
    </row>
    <row r="11">
      <c r="A11" s="16"/>
      <c r="B11" s="15" t="s">
        <v>25</v>
      </c>
      <c r="C11" s="5">
        <v>35.0</v>
      </c>
      <c r="D11" s="5">
        <v>10.0</v>
      </c>
      <c r="E11" s="6">
        <f t="shared" si="2"/>
        <v>25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76</v>
      </c>
    </row>
    <row r="14">
      <c r="A14" s="14" t="s">
        <v>27</v>
      </c>
      <c r="B14" s="15" t="s">
        <v>28</v>
      </c>
      <c r="C14" s="6">
        <v>236.0</v>
      </c>
      <c r="D14" s="5">
        <v>39.0</v>
      </c>
      <c r="E14" s="5">
        <f t="shared" ref="E14:E17" si="3">C14-D14</f>
        <v>197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57.0</v>
      </c>
      <c r="E16" s="5">
        <f t="shared" si="3"/>
        <v>81</v>
      </c>
    </row>
    <row r="17">
      <c r="A17" s="16"/>
      <c r="B17" s="24" t="s">
        <v>31</v>
      </c>
      <c r="C17" s="25">
        <v>30.0</v>
      </c>
      <c r="D17" s="5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278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13.0</v>
      </c>
      <c r="E20" s="6">
        <f t="shared" ref="E20:E23" si="4">C20-D20</f>
        <v>3</v>
      </c>
      <c r="F20" s="12"/>
    </row>
    <row r="21">
      <c r="A21" s="16"/>
      <c r="B21" s="28" t="s">
        <v>35</v>
      </c>
      <c r="C21" s="5">
        <v>24.0</v>
      </c>
      <c r="D21" s="5">
        <v>13.0</v>
      </c>
      <c r="E21" s="6">
        <f t="shared" si="4"/>
        <v>11</v>
      </c>
      <c r="F21" s="12"/>
    </row>
    <row r="22">
      <c r="A22" s="16"/>
      <c r="B22" s="28" t="s">
        <v>36</v>
      </c>
      <c r="C22" s="5">
        <v>24.0</v>
      </c>
      <c r="D22" s="5">
        <v>22.0</v>
      </c>
      <c r="E22" s="6">
        <f t="shared" si="4"/>
        <v>2</v>
      </c>
      <c r="F22" s="12"/>
    </row>
    <row r="23">
      <c r="A23" s="16"/>
      <c r="B23" s="28" t="s">
        <v>37</v>
      </c>
      <c r="C23" s="5">
        <v>23.0</v>
      </c>
      <c r="D23" s="5">
        <v>22.0</v>
      </c>
      <c r="E23" s="6">
        <f t="shared" si="4"/>
        <v>1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17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>
        <v>26.0</v>
      </c>
      <c r="D29" s="5"/>
      <c r="E29" s="6">
        <f>C29-D29</f>
        <v>26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26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887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20.0</v>
      </c>
      <c r="E2" s="6">
        <f t="shared" ref="E2:E5" si="1">C2-D2</f>
        <v>88</v>
      </c>
    </row>
    <row r="3">
      <c r="A3" s="16"/>
      <c r="B3" s="15" t="s">
        <v>17</v>
      </c>
      <c r="C3" s="6">
        <v>104.0</v>
      </c>
      <c r="D3" s="5">
        <v>50.0</v>
      </c>
      <c r="E3" s="6">
        <f t="shared" si="1"/>
        <v>54</v>
      </c>
    </row>
    <row r="4">
      <c r="A4" s="16"/>
      <c r="B4" s="15" t="s">
        <v>18</v>
      </c>
      <c r="C4" s="6">
        <v>306.0</v>
      </c>
      <c r="D4" s="5">
        <v>110.0</v>
      </c>
      <c r="E4" s="6">
        <f t="shared" si="1"/>
        <v>196</v>
      </c>
    </row>
    <row r="5">
      <c r="A5" s="16"/>
      <c r="B5" s="15" t="s">
        <v>19</v>
      </c>
      <c r="C5" s="6">
        <v>35.0</v>
      </c>
      <c r="D5" s="5">
        <v>29.0</v>
      </c>
      <c r="E5" s="6">
        <f t="shared" si="1"/>
        <v>6</v>
      </c>
    </row>
    <row r="6">
      <c r="A6" s="16"/>
      <c r="B6" s="15"/>
      <c r="C6" s="17"/>
      <c r="D6" s="5"/>
      <c r="E6" s="6"/>
    </row>
    <row r="7">
      <c r="A7" s="18"/>
      <c r="B7" s="19" t="s">
        <v>20</v>
      </c>
      <c r="C7" s="20"/>
      <c r="D7" s="21"/>
      <c r="E7" s="22">
        <f>SUM(E2:E6)</f>
        <v>344</v>
      </c>
    </row>
    <row r="8">
      <c r="A8" s="14" t="s">
        <v>21</v>
      </c>
      <c r="B8" s="15" t="s">
        <v>22</v>
      </c>
      <c r="C8" s="5">
        <v>35.0</v>
      </c>
      <c r="D8" s="5">
        <v>21.0</v>
      </c>
      <c r="E8" s="6">
        <f t="shared" ref="E8:E11" si="2">C8-D8</f>
        <v>14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15" t="s">
        <v>24</v>
      </c>
      <c r="C10" s="5">
        <v>25.0</v>
      </c>
      <c r="D10" s="5">
        <v>16.0</v>
      </c>
      <c r="E10" s="6">
        <f t="shared" si="2"/>
        <v>9</v>
      </c>
    </row>
    <row r="11">
      <c r="A11" s="16"/>
      <c r="B11" s="15" t="s">
        <v>25</v>
      </c>
      <c r="C11" s="5">
        <v>35.0</v>
      </c>
      <c r="D11" s="5">
        <v>23.0</v>
      </c>
      <c r="E11" s="6">
        <f t="shared" si="2"/>
        <v>12</v>
      </c>
    </row>
    <row r="12">
      <c r="A12" s="16"/>
      <c r="B12" s="15"/>
      <c r="C12" s="17"/>
      <c r="D12" s="5"/>
      <c r="E12" s="6"/>
    </row>
    <row r="13">
      <c r="A13" s="18"/>
      <c r="B13" s="23" t="s">
        <v>26</v>
      </c>
      <c r="C13" s="20"/>
      <c r="D13" s="21"/>
      <c r="E13" s="22">
        <f>SUM(E8:E12)</f>
        <v>50</v>
      </c>
    </row>
    <row r="14">
      <c r="A14" s="14" t="s">
        <v>27</v>
      </c>
      <c r="B14" s="15" t="s">
        <v>28</v>
      </c>
      <c r="C14" s="6">
        <v>236.0</v>
      </c>
      <c r="D14" s="5">
        <v>176.0</v>
      </c>
      <c r="E14" s="5">
        <f t="shared" ref="E14:E17" si="3">C14-D14</f>
        <v>60</v>
      </c>
    </row>
    <row r="15">
      <c r="A15" s="16"/>
      <c r="B15" s="15" t="s">
        <v>29</v>
      </c>
      <c r="C15" s="5">
        <v>6.0</v>
      </c>
      <c r="D15" s="5">
        <v>6.0</v>
      </c>
      <c r="E15" s="5">
        <f t="shared" si="3"/>
        <v>0</v>
      </c>
    </row>
    <row r="16">
      <c r="A16" s="16"/>
      <c r="B16" s="4" t="s">
        <v>30</v>
      </c>
      <c r="C16" s="6">
        <v>138.0</v>
      </c>
      <c r="D16" s="5">
        <v>118.0</v>
      </c>
      <c r="E16" s="5">
        <f t="shared" si="3"/>
        <v>20</v>
      </c>
    </row>
    <row r="17">
      <c r="A17" s="16"/>
      <c r="B17" s="24" t="s">
        <v>31</v>
      </c>
      <c r="C17" s="25">
        <v>30.0</v>
      </c>
      <c r="D17" s="26">
        <v>30.0</v>
      </c>
      <c r="E17" s="5">
        <f t="shared" si="3"/>
        <v>0</v>
      </c>
      <c r="F17" s="27"/>
    </row>
    <row r="18">
      <c r="A18" s="16"/>
      <c r="B18" s="28"/>
      <c r="C18" s="29"/>
      <c r="D18" s="26"/>
      <c r="E18" s="5"/>
      <c r="F18" s="12"/>
    </row>
    <row r="19">
      <c r="A19" s="18"/>
      <c r="B19" s="23" t="s">
        <v>32</v>
      </c>
      <c r="C19" s="20"/>
      <c r="D19" s="21"/>
      <c r="E19" s="22">
        <f>SUM(E14:E18)</f>
        <v>80</v>
      </c>
      <c r="F19" s="12"/>
    </row>
    <row r="20">
      <c r="A20" s="30" t="s">
        <v>33</v>
      </c>
      <c r="B20" s="28" t="s">
        <v>34</v>
      </c>
      <c r="C20" s="5">
        <v>16.0</v>
      </c>
      <c r="D20" s="5">
        <v>16.0</v>
      </c>
      <c r="E20" s="6">
        <f t="shared" ref="E20:E23" si="4">C20-D20</f>
        <v>0</v>
      </c>
      <c r="F20" s="12"/>
    </row>
    <row r="21">
      <c r="A21" s="16"/>
      <c r="B21" s="28" t="s">
        <v>35</v>
      </c>
      <c r="C21" s="5">
        <v>24.0</v>
      </c>
      <c r="D21" s="5">
        <v>24.0</v>
      </c>
      <c r="E21" s="6">
        <f t="shared" si="4"/>
        <v>0</v>
      </c>
      <c r="F21" s="12"/>
    </row>
    <row r="22">
      <c r="A22" s="16"/>
      <c r="B22" s="28" t="s">
        <v>36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37</v>
      </c>
      <c r="C23" s="5">
        <v>23.0</v>
      </c>
      <c r="D23" s="5"/>
      <c r="E23" s="6">
        <f t="shared" si="4"/>
        <v>23</v>
      </c>
      <c r="F23" s="12"/>
    </row>
    <row r="24">
      <c r="A24" s="16"/>
      <c r="B24" s="28"/>
      <c r="C24" s="17"/>
      <c r="D24" s="26"/>
      <c r="E24" s="31" t="str">
        <f>F18</f>
        <v/>
      </c>
      <c r="F24" s="12"/>
    </row>
    <row r="25">
      <c r="A25" s="18"/>
      <c r="B25" s="32" t="s">
        <v>20</v>
      </c>
      <c r="C25" s="33"/>
      <c r="D25" s="34"/>
      <c r="E25" s="35">
        <f>SUM(E20:E24)</f>
        <v>23</v>
      </c>
      <c r="F25" s="12"/>
    </row>
    <row r="26">
      <c r="A26" s="30" t="s">
        <v>38</v>
      </c>
      <c r="B26" s="36" t="s">
        <v>39</v>
      </c>
      <c r="C26" s="37">
        <v>40.0</v>
      </c>
      <c r="D26" s="37">
        <v>40.0</v>
      </c>
      <c r="E26" s="38">
        <f>C26-D26</f>
        <v>0</v>
      </c>
    </row>
    <row r="27">
      <c r="A27" s="16"/>
      <c r="B27" s="39"/>
      <c r="C27" s="40"/>
      <c r="D27" s="40"/>
      <c r="E27" s="38"/>
    </row>
    <row r="28">
      <c r="A28" s="18"/>
      <c r="B28" s="41" t="s">
        <v>20</v>
      </c>
      <c r="C28" s="33"/>
      <c r="D28" s="34"/>
      <c r="E28" s="42">
        <f>SUM(E26:E27)</f>
        <v>0</v>
      </c>
    </row>
    <row r="29">
      <c r="A29" s="30" t="s">
        <v>40</v>
      </c>
      <c r="B29" s="4" t="s">
        <v>41</v>
      </c>
      <c r="C29" s="5">
        <v>26.0</v>
      </c>
      <c r="D29" s="5"/>
      <c r="E29" s="6">
        <f>C29-D29</f>
        <v>26</v>
      </c>
    </row>
    <row r="30">
      <c r="A30" s="16"/>
      <c r="B30" s="43"/>
      <c r="C30" s="44"/>
      <c r="D30" s="40"/>
      <c r="E30" s="6"/>
    </row>
    <row r="31">
      <c r="A31" s="18"/>
      <c r="B31" s="32" t="s">
        <v>20</v>
      </c>
      <c r="C31" s="33"/>
      <c r="D31" s="34"/>
      <c r="E31" s="22">
        <f>sum(E29:E30)</f>
        <v>26</v>
      </c>
    </row>
    <row r="32">
      <c r="A32" s="45"/>
    </row>
    <row r="33">
      <c r="A33" s="46" t="s">
        <v>42</v>
      </c>
      <c r="B33" s="33"/>
      <c r="C33" s="33"/>
      <c r="D33" s="47"/>
      <c r="E33" s="48">
        <f>E7+E13+E19+E25+E28+E31</f>
        <v>523</v>
      </c>
    </row>
    <row r="34">
      <c r="A34" s="49"/>
      <c r="B34" s="49"/>
      <c r="C34" s="49"/>
      <c r="D34" s="50"/>
      <c r="E34" s="49"/>
    </row>
    <row r="36">
      <c r="B36" s="51"/>
      <c r="C36" s="52"/>
    </row>
    <row r="37">
      <c r="B37" s="53"/>
      <c r="C37" s="53"/>
    </row>
  </sheetData>
  <mergeCells count="15">
    <mergeCell ref="A20:A25"/>
    <mergeCell ref="A26:A28"/>
    <mergeCell ref="A29:A31"/>
    <mergeCell ref="B28:D28"/>
    <mergeCell ref="B31:D31"/>
    <mergeCell ref="A32:E32"/>
    <mergeCell ref="A33:D33"/>
    <mergeCell ref="C37:D37"/>
    <mergeCell ref="A2:A7"/>
    <mergeCell ref="B7:D7"/>
    <mergeCell ref="A8:A13"/>
    <mergeCell ref="B13:D13"/>
    <mergeCell ref="A14:A19"/>
    <mergeCell ref="B19:D19"/>
    <mergeCell ref="B25:D2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8.0</v>
      </c>
      <c r="E2" s="6">
        <f t="shared" ref="E2:E5" si="1">C2-D2</f>
        <v>100</v>
      </c>
    </row>
    <row r="3">
      <c r="A3" s="16"/>
      <c r="B3" s="15" t="s">
        <v>17</v>
      </c>
      <c r="C3" s="6">
        <v>104.0</v>
      </c>
      <c r="D3" s="5">
        <v>31.0</v>
      </c>
      <c r="E3" s="6">
        <f t="shared" si="1"/>
        <v>73</v>
      </c>
    </row>
    <row r="4">
      <c r="A4" s="16"/>
      <c r="B4" s="15" t="s">
        <v>18</v>
      </c>
      <c r="C4" s="6">
        <v>306.0</v>
      </c>
      <c r="D4" s="5">
        <v>79.0</v>
      </c>
      <c r="E4" s="6">
        <f t="shared" si="1"/>
        <v>227</v>
      </c>
    </row>
    <row r="5">
      <c r="A5" s="16"/>
      <c r="B5" s="15" t="s">
        <v>19</v>
      </c>
      <c r="C5" s="6">
        <v>35.0</v>
      </c>
      <c r="D5" s="5">
        <v>22.0</v>
      </c>
      <c r="E5" s="6">
        <f t="shared" si="1"/>
        <v>13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413</v>
      </c>
    </row>
    <row r="8">
      <c r="A8" s="14" t="s">
        <v>21</v>
      </c>
      <c r="B8" s="15" t="s">
        <v>22</v>
      </c>
      <c r="C8" s="5">
        <v>35.0</v>
      </c>
      <c r="D8" s="5">
        <v>15.0</v>
      </c>
      <c r="E8" s="6">
        <f t="shared" ref="E8:E9" si="2">C8-D8</f>
        <v>20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5.0</v>
      </c>
      <c r="E11" s="6">
        <f t="shared" ref="E11:E12" si="3">C11-D11</f>
        <v>20</v>
      </c>
    </row>
    <row r="12">
      <c r="A12" s="16"/>
      <c r="B12" s="15" t="s">
        <v>25</v>
      </c>
      <c r="C12" s="5">
        <v>35.0</v>
      </c>
      <c r="D12" s="5">
        <v>20.0</v>
      </c>
      <c r="E12" s="6">
        <f t="shared" si="3"/>
        <v>15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78</v>
      </c>
    </row>
    <row r="15">
      <c r="A15" s="14" t="s">
        <v>27</v>
      </c>
      <c r="B15" s="15" t="s">
        <v>28</v>
      </c>
      <c r="C15" s="6">
        <v>236.0</v>
      </c>
      <c r="D15" s="5">
        <v>124.0</v>
      </c>
      <c r="E15" s="5">
        <f>C15-D15</f>
        <v>112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102.0</v>
      </c>
      <c r="E17" s="5">
        <f>C17-D17</f>
        <v>36</v>
      </c>
    </row>
    <row r="18">
      <c r="A18" s="16"/>
      <c r="B18" s="24" t="s">
        <v>31</v>
      </c>
      <c r="C18" s="25"/>
      <c r="D18" s="26"/>
      <c r="E18" s="5"/>
      <c r="F18" s="27" t="s">
        <v>46</v>
      </c>
    </row>
    <row r="19">
      <c r="A19" s="16"/>
      <c r="B19" s="28" t="s">
        <v>43</v>
      </c>
      <c r="C19" s="29"/>
      <c r="D19" s="26"/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148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4" si="4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4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21.0</v>
      </c>
      <c r="D34" s="5"/>
      <c r="E34" s="6">
        <f>C34-D42</f>
        <v>21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21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660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11.0</v>
      </c>
      <c r="E3" s="6">
        <f t="shared" si="1"/>
        <v>93</v>
      </c>
    </row>
    <row r="4">
      <c r="A4" s="16"/>
      <c r="B4" s="15" t="s">
        <v>18</v>
      </c>
      <c r="C4" s="6">
        <v>306.0</v>
      </c>
      <c r="D4" s="5">
        <v>34.0</v>
      </c>
      <c r="E4" s="6">
        <f t="shared" si="1"/>
        <v>272</v>
      </c>
    </row>
    <row r="5">
      <c r="A5" s="16"/>
      <c r="B5" s="15" t="s">
        <v>19</v>
      </c>
      <c r="C5" s="6">
        <v>35.0</v>
      </c>
      <c r="D5" s="5">
        <v>6.0</v>
      </c>
      <c r="E5" s="6">
        <f t="shared" si="1"/>
        <v>29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496</v>
      </c>
    </row>
    <row r="8">
      <c r="A8" s="14" t="s">
        <v>21</v>
      </c>
      <c r="B8" s="15" t="s">
        <v>22</v>
      </c>
      <c r="C8" s="5">
        <v>35.0</v>
      </c>
      <c r="D8" s="5">
        <v>7.0</v>
      </c>
      <c r="E8" s="6">
        <f t="shared" ref="E8:E9" si="2">C8-D8</f>
        <v>28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4.0</v>
      </c>
      <c r="E12" s="6">
        <f t="shared" si="3"/>
        <v>31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112</v>
      </c>
    </row>
    <row r="15">
      <c r="A15" s="14" t="s">
        <v>27</v>
      </c>
      <c r="B15" s="15" t="s">
        <v>28</v>
      </c>
      <c r="C15" s="6">
        <v>236.0</v>
      </c>
      <c r="D15" s="5">
        <v>43.0</v>
      </c>
      <c r="E15" s="5">
        <f>C15-D15</f>
        <v>193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51.0</v>
      </c>
      <c r="E17" s="5">
        <f>C17-D17</f>
        <v>87</v>
      </c>
    </row>
    <row r="18">
      <c r="A18" s="16"/>
      <c r="B18" s="24" t="s">
        <v>31</v>
      </c>
      <c r="C18" s="25"/>
      <c r="D18" s="26"/>
      <c r="E18" s="5"/>
      <c r="F18" s="27" t="s">
        <v>46</v>
      </c>
    </row>
    <row r="19">
      <c r="A19" s="16"/>
      <c r="B19" s="28" t="s">
        <v>43</v>
      </c>
      <c r="C19" s="29"/>
      <c r="D19" s="26"/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280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9.0</v>
      </c>
      <c r="E21" s="6">
        <f t="shared" ref="E21:E24" si="4">C21-D21</f>
        <v>7</v>
      </c>
      <c r="F21" s="12"/>
    </row>
    <row r="22">
      <c r="A22" s="16"/>
      <c r="B22" s="28" t="s">
        <v>35</v>
      </c>
      <c r="C22" s="5">
        <v>24.0</v>
      </c>
      <c r="D22" s="5">
        <v>10.0</v>
      </c>
      <c r="E22" s="6">
        <f t="shared" si="4"/>
        <v>14</v>
      </c>
      <c r="F22" s="12"/>
    </row>
    <row r="23">
      <c r="A23" s="16"/>
      <c r="B23" s="28" t="s">
        <v>36</v>
      </c>
      <c r="C23" s="5">
        <v>24.0</v>
      </c>
      <c r="D23" s="5">
        <v>9.0</v>
      </c>
      <c r="E23" s="6">
        <f t="shared" si="4"/>
        <v>15</v>
      </c>
      <c r="F23" s="12"/>
    </row>
    <row r="24">
      <c r="A24" s="16"/>
      <c r="B24" s="28" t="s">
        <v>37</v>
      </c>
      <c r="C24" s="5">
        <v>23.0</v>
      </c>
      <c r="D24" s="5">
        <v>14.0</v>
      </c>
      <c r="E24" s="5">
        <f t="shared" si="4"/>
        <v>9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45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21.0</v>
      </c>
      <c r="D34" s="5"/>
      <c r="E34" s="6">
        <f>C34-D42</f>
        <v>21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21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954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1.0</v>
      </c>
      <c r="E2" s="6">
        <f t="shared" ref="E2:E5" si="1">C2-D2</f>
        <v>107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28.0</v>
      </c>
      <c r="E4" s="6">
        <f t="shared" si="1"/>
        <v>278</v>
      </c>
    </row>
    <row r="5">
      <c r="A5" s="16"/>
      <c r="B5" s="15" t="s">
        <v>19</v>
      </c>
      <c r="C5" s="6">
        <v>35.0</v>
      </c>
      <c r="D5" s="5">
        <v>3.0</v>
      </c>
      <c r="E5" s="6">
        <f t="shared" si="1"/>
        <v>32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519</v>
      </c>
    </row>
    <row r="8">
      <c r="A8" s="14" t="s">
        <v>21</v>
      </c>
      <c r="B8" s="15" t="s">
        <v>22</v>
      </c>
      <c r="C8" s="5">
        <v>35.0</v>
      </c>
      <c r="D8" s="5">
        <v>1.0</v>
      </c>
      <c r="E8" s="6">
        <f t="shared" ref="E8:E9" si="2">C8-D8</f>
        <v>34</v>
      </c>
    </row>
    <row r="9">
      <c r="A9" s="16"/>
      <c r="B9" s="15" t="s">
        <v>23</v>
      </c>
      <c r="C9" s="5">
        <f>25</f>
        <v>25</v>
      </c>
      <c r="D9" s="5">
        <v>0.0</v>
      </c>
      <c r="E9" s="6">
        <f t="shared" si="2"/>
        <v>25</v>
      </c>
    </row>
    <row r="10">
      <c r="A10" s="16"/>
      <c r="B10" s="4" t="s">
        <v>44</v>
      </c>
      <c r="C10" s="5">
        <v>8.0</v>
      </c>
      <c r="D10" s="5">
        <v>0.0</v>
      </c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0.0</v>
      </c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>
        <v>0.0</v>
      </c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127</v>
      </c>
    </row>
    <row r="15">
      <c r="A15" s="14" t="s">
        <v>27</v>
      </c>
      <c r="B15" s="15" t="s">
        <v>28</v>
      </c>
      <c r="C15" s="6">
        <v>236.0</v>
      </c>
      <c r="D15" s="5">
        <v>10.0</v>
      </c>
      <c r="E15" s="5">
        <f t="shared" ref="E15:E19" si="4">C15-D15</f>
        <v>226</v>
      </c>
    </row>
    <row r="16">
      <c r="A16" s="16"/>
      <c r="B16" s="15" t="s">
        <v>29</v>
      </c>
      <c r="C16" s="5">
        <v>5.0</v>
      </c>
      <c r="D16" s="5">
        <v>5.0</v>
      </c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2.0</v>
      </c>
      <c r="E17" s="5">
        <f t="shared" si="4"/>
        <v>136</v>
      </c>
    </row>
    <row r="18">
      <c r="A18" s="16"/>
      <c r="B18" s="24" t="s">
        <v>31</v>
      </c>
      <c r="C18" s="25">
        <v>36.0</v>
      </c>
      <c r="D18" s="26">
        <v>33.0</v>
      </c>
      <c r="E18" s="5">
        <f t="shared" si="4"/>
        <v>3</v>
      </c>
      <c r="F18" s="27" t="s">
        <v>46</v>
      </c>
    </row>
    <row r="19">
      <c r="A19" s="16"/>
      <c r="B19" s="28" t="s">
        <v>43</v>
      </c>
      <c r="C19" s="29">
        <v>0.0</v>
      </c>
      <c r="D19" s="26">
        <v>0.0</v>
      </c>
      <c r="E19" s="5">
        <f t="shared" si="4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365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2.0</v>
      </c>
      <c r="E21" s="6">
        <f t="shared" ref="E21:E24" si="5">C21-D21</f>
        <v>14</v>
      </c>
      <c r="F21" s="12"/>
    </row>
    <row r="22">
      <c r="A22" s="16"/>
      <c r="B22" s="28" t="s">
        <v>35</v>
      </c>
      <c r="C22" s="5">
        <v>23.0</v>
      </c>
      <c r="D22" s="5">
        <v>1.0</v>
      </c>
      <c r="E22" s="6">
        <f t="shared" si="5"/>
        <v>22</v>
      </c>
      <c r="F22" s="12"/>
    </row>
    <row r="23">
      <c r="A23" s="16"/>
      <c r="B23" s="28" t="s">
        <v>36</v>
      </c>
      <c r="C23" s="5">
        <v>16.0</v>
      </c>
      <c r="D23" s="5">
        <v>3.0</v>
      </c>
      <c r="E23" s="6">
        <f t="shared" si="5"/>
        <v>13</v>
      </c>
      <c r="F23" s="12"/>
    </row>
    <row r="24">
      <c r="A24" s="16"/>
      <c r="B24" s="28" t="s">
        <v>37</v>
      </c>
      <c r="C24" s="5">
        <v>23.0</v>
      </c>
      <c r="D24" s="5">
        <v>2.0</v>
      </c>
      <c r="E24" s="5">
        <f t="shared" si="5"/>
        <v>21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 t="str">
        <f>D29</f>
        <v/>
      </c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30.0</v>
      </c>
      <c r="D34" s="5">
        <v>0.0</v>
      </c>
      <c r="E34" s="6">
        <f>C34-D42</f>
        <v>30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1111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7.0</v>
      </c>
      <c r="E3" s="6">
        <f t="shared" si="1"/>
        <v>97</v>
      </c>
    </row>
    <row r="4">
      <c r="A4" s="16"/>
      <c r="B4" s="15" t="s">
        <v>18</v>
      </c>
      <c r="C4" s="6">
        <v>306.0</v>
      </c>
      <c r="D4" s="5">
        <v>24.0</v>
      </c>
      <c r="E4" s="6">
        <f t="shared" si="1"/>
        <v>282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514</v>
      </c>
    </row>
    <row r="8">
      <c r="A8" s="14" t="s">
        <v>21</v>
      </c>
      <c r="B8" s="15" t="s">
        <v>22</v>
      </c>
      <c r="C8" s="5">
        <v>35.0</v>
      </c>
      <c r="D8" s="5">
        <v>16.0</v>
      </c>
      <c r="E8" s="6">
        <f t="shared" ref="E8:E12" si="2">C8-D8</f>
        <v>19</v>
      </c>
    </row>
    <row r="9">
      <c r="A9" s="16"/>
      <c r="B9" s="15" t="s">
        <v>23</v>
      </c>
      <c r="C9" s="5">
        <f>25</f>
        <v>25</v>
      </c>
      <c r="D9" s="5">
        <v>8.0</v>
      </c>
      <c r="E9" s="6">
        <f t="shared" si="2"/>
        <v>17</v>
      </c>
    </row>
    <row r="10">
      <c r="A10" s="16"/>
      <c r="B10" s="4" t="s">
        <v>44</v>
      </c>
      <c r="C10" s="5">
        <v>8.0</v>
      </c>
      <c r="D10" s="5">
        <v>3.0</v>
      </c>
      <c r="E10" s="6">
        <f t="shared" si="2"/>
        <v>5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10.0</v>
      </c>
      <c r="E11" s="6">
        <f t="shared" si="2"/>
        <v>15</v>
      </c>
    </row>
    <row r="12">
      <c r="A12" s="16"/>
      <c r="B12" s="15" t="s">
        <v>25</v>
      </c>
      <c r="C12" s="5">
        <v>35.0</v>
      </c>
      <c r="D12" s="5">
        <v>10.0</v>
      </c>
      <c r="E12" s="6">
        <f t="shared" si="2"/>
        <v>25</v>
      </c>
    </row>
    <row r="13">
      <c r="A13" s="16"/>
      <c r="B13" s="15" t="s">
        <v>43</v>
      </c>
      <c r="C13" s="17"/>
      <c r="D13" s="5"/>
      <c r="E13" s="6"/>
    </row>
    <row r="14">
      <c r="A14" s="18"/>
      <c r="B14" s="23" t="s">
        <v>26</v>
      </c>
      <c r="C14" s="20"/>
      <c r="D14" s="21"/>
      <c r="E14" s="22">
        <f>SUM(E8:E13)</f>
        <v>81</v>
      </c>
    </row>
    <row r="15">
      <c r="A15" s="14" t="s">
        <v>27</v>
      </c>
      <c r="B15" s="15" t="s">
        <v>28</v>
      </c>
      <c r="C15" s="6">
        <v>236.0</v>
      </c>
      <c r="D15" s="5">
        <v>31.0</v>
      </c>
      <c r="E15" s="5">
        <f>C15-D15</f>
        <v>205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38.0</v>
      </c>
      <c r="E17" s="5">
        <f>C17-D17</f>
        <v>100</v>
      </c>
    </row>
    <row r="18">
      <c r="A18" s="16"/>
      <c r="B18" s="24" t="s">
        <v>31</v>
      </c>
      <c r="C18" s="25"/>
      <c r="D18" s="26">
        <v>0.0</v>
      </c>
      <c r="E18" s="5"/>
      <c r="F18" s="27" t="s">
        <v>46</v>
      </c>
    </row>
    <row r="19">
      <c r="A19" s="16"/>
      <c r="B19" s="28" t="s">
        <v>43</v>
      </c>
      <c r="C19" s="29"/>
      <c r="D19" s="26">
        <v>0.0</v>
      </c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305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11.0</v>
      </c>
      <c r="E21" s="6">
        <f t="shared" ref="E21:E24" si="3">C21-D21</f>
        <v>5</v>
      </c>
      <c r="F21" s="12"/>
    </row>
    <row r="22">
      <c r="A22" s="16"/>
      <c r="B22" s="28" t="s">
        <v>35</v>
      </c>
      <c r="C22" s="5">
        <v>24.0</v>
      </c>
      <c r="D22" s="5">
        <v>8.0</v>
      </c>
      <c r="E22" s="6">
        <f t="shared" si="3"/>
        <v>16</v>
      </c>
      <c r="F22" s="12"/>
    </row>
    <row r="23">
      <c r="A23" s="16"/>
      <c r="B23" s="28" t="s">
        <v>36</v>
      </c>
      <c r="C23" s="5">
        <v>16.0</v>
      </c>
      <c r="D23" s="5">
        <v>8.0</v>
      </c>
      <c r="E23" s="6">
        <f t="shared" si="3"/>
        <v>8</v>
      </c>
      <c r="F23" s="12"/>
    </row>
    <row r="24">
      <c r="A24" s="16"/>
      <c r="B24" s="28" t="s">
        <v>37</v>
      </c>
      <c r="C24" s="5">
        <v>23.0</v>
      </c>
      <c r="D24" s="5">
        <v>6.0</v>
      </c>
      <c r="E24" s="5">
        <f t="shared" si="3"/>
        <v>17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46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4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4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30.0</v>
      </c>
      <c r="D34" s="5"/>
      <c r="E34" s="6">
        <f>C34-D42</f>
        <v>30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976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13.0</v>
      </c>
      <c r="E2" s="6">
        <f t="shared" ref="E2:E5" si="1">C2-D2</f>
        <v>95</v>
      </c>
    </row>
    <row r="3">
      <c r="A3" s="16"/>
      <c r="B3" s="15" t="s">
        <v>17</v>
      </c>
      <c r="C3" s="6">
        <v>104.0</v>
      </c>
      <c r="D3" s="5">
        <v>14.0</v>
      </c>
      <c r="E3" s="6">
        <f t="shared" si="1"/>
        <v>90</v>
      </c>
    </row>
    <row r="4">
      <c r="A4" s="16"/>
      <c r="B4" s="15" t="s">
        <v>18</v>
      </c>
      <c r="C4" s="6">
        <v>306.0</v>
      </c>
      <c r="D4" s="5">
        <v>54.0</v>
      </c>
      <c r="E4" s="6">
        <f t="shared" si="1"/>
        <v>252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472</v>
      </c>
    </row>
    <row r="8">
      <c r="A8" s="14" t="s">
        <v>21</v>
      </c>
      <c r="B8" s="15" t="s">
        <v>22</v>
      </c>
      <c r="C8" s="5">
        <v>35.0</v>
      </c>
      <c r="D8" s="5">
        <v>25.0</v>
      </c>
      <c r="E8" s="6">
        <f t="shared" ref="E8:E12" si="2">C8-D8</f>
        <v>10</v>
      </c>
    </row>
    <row r="9">
      <c r="A9" s="16"/>
      <c r="B9" s="15" t="s">
        <v>23</v>
      </c>
      <c r="C9" s="5">
        <f>25</f>
        <v>25</v>
      </c>
      <c r="D9" s="5">
        <v>15.0</v>
      </c>
      <c r="E9" s="6">
        <f t="shared" si="2"/>
        <v>10</v>
      </c>
    </row>
    <row r="10">
      <c r="A10" s="16"/>
      <c r="B10" s="4" t="s">
        <v>44</v>
      </c>
      <c r="C10" s="5">
        <v>10.0</v>
      </c>
      <c r="D10" s="5">
        <v>10.0</v>
      </c>
      <c r="E10" s="6">
        <f t="shared" si="2"/>
        <v>0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15.0</v>
      </c>
      <c r="E11" s="6">
        <f t="shared" si="2"/>
        <v>10</v>
      </c>
    </row>
    <row r="12">
      <c r="A12" s="16"/>
      <c r="B12" s="15" t="s">
        <v>25</v>
      </c>
      <c r="C12" s="5">
        <v>35.0</v>
      </c>
      <c r="D12" s="5">
        <v>25.0</v>
      </c>
      <c r="E12" s="6">
        <f t="shared" si="2"/>
        <v>10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40</v>
      </c>
    </row>
    <row r="15">
      <c r="A15" s="14" t="s">
        <v>27</v>
      </c>
      <c r="B15" s="15" t="s">
        <v>28</v>
      </c>
      <c r="C15" s="6">
        <v>236.0</v>
      </c>
      <c r="D15" s="5">
        <v>134.0</v>
      </c>
      <c r="E15" s="5">
        <f>C15-D15</f>
        <v>102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132.0</v>
      </c>
      <c r="E17" s="5">
        <f t="shared" ref="E17:E19" si="3">C17-D17</f>
        <v>6</v>
      </c>
    </row>
    <row r="18">
      <c r="A18" s="16"/>
      <c r="B18" s="24" t="s">
        <v>31</v>
      </c>
      <c r="C18" s="25">
        <v>30.0</v>
      </c>
      <c r="D18" s="26">
        <v>30.0</v>
      </c>
      <c r="E18" s="5">
        <f t="shared" si="3"/>
        <v>0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3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108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4" si="4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4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25.0</v>
      </c>
      <c r="D34" s="5"/>
      <c r="E34" s="6">
        <f>C34-D42</f>
        <v>25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25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645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29.0</v>
      </c>
      <c r="E2" s="6">
        <f t="shared" ref="E2:E5" si="1">C2-D2</f>
        <v>79</v>
      </c>
    </row>
    <row r="3">
      <c r="A3" s="16"/>
      <c r="B3" s="15" t="s">
        <v>17</v>
      </c>
      <c r="C3" s="6">
        <v>104.0</v>
      </c>
      <c r="D3" s="5">
        <v>24.0</v>
      </c>
      <c r="E3" s="6">
        <f t="shared" si="1"/>
        <v>80</v>
      </c>
    </row>
    <row r="4">
      <c r="A4" s="16"/>
      <c r="B4" s="15" t="s">
        <v>18</v>
      </c>
      <c r="C4" s="6">
        <v>306.0</v>
      </c>
      <c r="D4" s="5">
        <v>94.0</v>
      </c>
      <c r="E4" s="6">
        <f t="shared" si="1"/>
        <v>212</v>
      </c>
    </row>
    <row r="5">
      <c r="A5" s="16"/>
      <c r="B5" s="15" t="s">
        <v>19</v>
      </c>
      <c r="C5" s="6">
        <v>35.0</v>
      </c>
      <c r="D5" s="5">
        <v>21.0</v>
      </c>
      <c r="E5" s="6">
        <f t="shared" si="1"/>
        <v>14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385</v>
      </c>
    </row>
    <row r="8">
      <c r="A8" s="14" t="s">
        <v>21</v>
      </c>
      <c r="B8" s="15" t="s">
        <v>22</v>
      </c>
      <c r="C8" s="5">
        <v>35.0</v>
      </c>
      <c r="D8" s="5">
        <v>22.0</v>
      </c>
      <c r="E8" s="6">
        <f t="shared" ref="E8:E9" si="2">C8-D8</f>
        <v>13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>
        <v>9.0</v>
      </c>
      <c r="D10" s="5"/>
      <c r="E10" s="54">
        <f>C10</f>
        <v>9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9.0</v>
      </c>
      <c r="E11" s="6">
        <f t="shared" ref="E11:E12" si="3">C11-D11</f>
        <v>16</v>
      </c>
    </row>
    <row r="12">
      <c r="A12" s="16"/>
      <c r="B12" s="15" t="s">
        <v>25</v>
      </c>
      <c r="C12" s="5">
        <v>35.0</v>
      </c>
      <c r="D12" s="5">
        <v>12.0</v>
      </c>
      <c r="E12" s="6">
        <f t="shared" si="3"/>
        <v>23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76</v>
      </c>
    </row>
    <row r="15">
      <c r="A15" s="14" t="s">
        <v>27</v>
      </c>
      <c r="B15" s="15" t="s">
        <v>28</v>
      </c>
      <c r="C15" s="6">
        <v>236.0</v>
      </c>
      <c r="D15" s="5">
        <v>148.0</v>
      </c>
      <c r="E15" s="5">
        <f>C15-D15</f>
        <v>88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109.0</v>
      </c>
      <c r="E17" s="5">
        <f>C17-D17</f>
        <v>29</v>
      </c>
    </row>
    <row r="18">
      <c r="A18" s="16"/>
      <c r="B18" s="24" t="s">
        <v>31</v>
      </c>
      <c r="C18" s="25"/>
      <c r="D18" s="26"/>
      <c r="E18" s="5"/>
      <c r="F18" s="27" t="s">
        <v>46</v>
      </c>
    </row>
    <row r="19">
      <c r="A19" s="16"/>
      <c r="B19" s="28" t="s">
        <v>43</v>
      </c>
      <c r="C19" s="29"/>
      <c r="D19" s="26"/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117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15.0</v>
      </c>
      <c r="E21" s="6">
        <f t="shared" ref="E21:E24" si="4">C21-D21</f>
        <v>1</v>
      </c>
      <c r="F21" s="12"/>
    </row>
    <row r="22">
      <c r="A22" s="16"/>
      <c r="B22" s="28" t="s">
        <v>35</v>
      </c>
      <c r="C22" s="5">
        <v>24.0</v>
      </c>
      <c r="D22" s="5">
        <v>21.0</v>
      </c>
      <c r="E22" s="6">
        <f t="shared" si="4"/>
        <v>3</v>
      </c>
      <c r="F22" s="12"/>
    </row>
    <row r="23">
      <c r="A23" s="16"/>
      <c r="B23" s="28" t="s">
        <v>36</v>
      </c>
      <c r="C23" s="5">
        <v>16.0</v>
      </c>
      <c r="D23" s="5">
        <v>16.0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21.0</v>
      </c>
      <c r="E24" s="5">
        <f t="shared" si="4"/>
        <v>2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6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26.0</v>
      </c>
      <c r="D34" s="5"/>
      <c r="E34" s="6">
        <f>C34-D42</f>
        <v>26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26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629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29.0</v>
      </c>
      <c r="E2" s="6">
        <f t="shared" ref="E2:E5" si="1">C2-D2</f>
        <v>79</v>
      </c>
    </row>
    <row r="3">
      <c r="A3" s="16"/>
      <c r="B3" s="15" t="s">
        <v>17</v>
      </c>
      <c r="C3" s="6">
        <v>104.0</v>
      </c>
      <c r="D3" s="5">
        <v>24.0</v>
      </c>
      <c r="E3" s="6">
        <f t="shared" si="1"/>
        <v>80</v>
      </c>
    </row>
    <row r="4">
      <c r="A4" s="16"/>
      <c r="B4" s="15" t="s">
        <v>18</v>
      </c>
      <c r="C4" s="6">
        <v>306.0</v>
      </c>
      <c r="D4" s="5">
        <v>94.0</v>
      </c>
      <c r="E4" s="6">
        <f t="shared" si="1"/>
        <v>212</v>
      </c>
    </row>
    <row r="5">
      <c r="A5" s="16"/>
      <c r="B5" s="15" t="s">
        <v>19</v>
      </c>
      <c r="C5" s="6">
        <v>35.0</v>
      </c>
      <c r="D5" s="5">
        <v>21.0</v>
      </c>
      <c r="E5" s="6">
        <f t="shared" si="1"/>
        <v>14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385</v>
      </c>
    </row>
    <row r="8">
      <c r="A8" s="14" t="s">
        <v>21</v>
      </c>
      <c r="B8" s="15" t="s">
        <v>22</v>
      </c>
      <c r="C8" s="5">
        <v>35.0</v>
      </c>
      <c r="D8" s="5">
        <v>5.0</v>
      </c>
      <c r="E8" s="6">
        <f t="shared" ref="E8:E9" si="2">C8-D8</f>
        <v>30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>
        <v>9.0</v>
      </c>
      <c r="D10" s="5"/>
      <c r="E10" s="54">
        <f>C10</f>
        <v>9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10.0</v>
      </c>
      <c r="E11" s="6">
        <f t="shared" ref="E11:E12" si="3">C11-D11</f>
        <v>15</v>
      </c>
    </row>
    <row r="12">
      <c r="A12" s="16"/>
      <c r="B12" s="15" t="s">
        <v>25</v>
      </c>
      <c r="C12" s="5">
        <v>35.0</v>
      </c>
      <c r="D12" s="5">
        <v>10.0</v>
      </c>
      <c r="E12" s="6">
        <f t="shared" si="3"/>
        <v>25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94</v>
      </c>
    </row>
    <row r="15">
      <c r="A15" s="14" t="s">
        <v>27</v>
      </c>
      <c r="B15" s="15" t="s">
        <v>28</v>
      </c>
      <c r="C15" s="6">
        <v>236.0</v>
      </c>
      <c r="D15" s="5">
        <v>55.0</v>
      </c>
      <c r="E15" s="5">
        <f>C15-D15</f>
        <v>181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68.0</v>
      </c>
      <c r="E17" s="5">
        <f>C17-D17</f>
        <v>70</v>
      </c>
    </row>
    <row r="18">
      <c r="A18" s="16"/>
      <c r="B18" s="24" t="s">
        <v>31</v>
      </c>
      <c r="C18" s="25"/>
      <c r="D18" s="26"/>
      <c r="E18" s="5"/>
      <c r="F18" s="27" t="s">
        <v>46</v>
      </c>
    </row>
    <row r="19">
      <c r="A19" s="16"/>
      <c r="B19" s="28" t="s">
        <v>43</v>
      </c>
      <c r="C19" s="29"/>
      <c r="D19" s="26"/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251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13.0</v>
      </c>
      <c r="E21" s="6">
        <f t="shared" ref="E21:E24" si="4">C21-D21</f>
        <v>3</v>
      </c>
      <c r="F21" s="12"/>
    </row>
    <row r="22">
      <c r="A22" s="16"/>
      <c r="B22" s="28" t="s">
        <v>35</v>
      </c>
      <c r="C22" s="5">
        <v>24.0</v>
      </c>
      <c r="D22" s="5">
        <v>12.0</v>
      </c>
      <c r="E22" s="6">
        <f t="shared" si="4"/>
        <v>12</v>
      </c>
      <c r="F22" s="12"/>
    </row>
    <row r="23">
      <c r="A23" s="16"/>
      <c r="B23" s="28" t="s">
        <v>36</v>
      </c>
      <c r="C23" s="5">
        <v>16.0</v>
      </c>
      <c r="D23" s="5">
        <v>16.0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20.0</v>
      </c>
      <c r="E24" s="5">
        <f t="shared" si="4"/>
        <v>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18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26.0</v>
      </c>
      <c r="D34" s="5"/>
      <c r="E34" s="6">
        <f>C34-D42</f>
        <v>26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26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793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16.0</v>
      </c>
      <c r="E2" s="6">
        <f t="shared" ref="E2:E5" si="1">C2-D2</f>
        <v>92</v>
      </c>
    </row>
    <row r="3">
      <c r="A3" s="16"/>
      <c r="B3" s="15" t="s">
        <v>17</v>
      </c>
      <c r="C3" s="6">
        <v>104.0</v>
      </c>
      <c r="D3" s="5">
        <v>5.0</v>
      </c>
      <c r="E3" s="6">
        <f t="shared" si="1"/>
        <v>99</v>
      </c>
    </row>
    <row r="4">
      <c r="A4" s="16"/>
      <c r="B4" s="15" t="s">
        <v>18</v>
      </c>
      <c r="C4" s="6">
        <v>306.0</v>
      </c>
      <c r="D4" s="5">
        <v>44.0</v>
      </c>
      <c r="E4" s="6">
        <f t="shared" si="1"/>
        <v>262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486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0.0</v>
      </c>
      <c r="E9" s="6">
        <f t="shared" si="2"/>
        <v>25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0.0</v>
      </c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>
        <v>22.0</v>
      </c>
      <c r="E12" s="6">
        <f t="shared" si="3"/>
        <v>13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102</v>
      </c>
    </row>
    <row r="15">
      <c r="A15" s="14" t="s">
        <v>27</v>
      </c>
      <c r="B15" s="15" t="s">
        <v>28</v>
      </c>
      <c r="C15" s="6">
        <v>236.0</v>
      </c>
      <c r="D15" s="5">
        <v>13.0</v>
      </c>
      <c r="E15" s="5">
        <f>C15-D15</f>
        <v>223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25.0</v>
      </c>
      <c r="E17" s="5">
        <f>C17-D17</f>
        <v>113</v>
      </c>
    </row>
    <row r="18">
      <c r="A18" s="16"/>
      <c r="B18" s="24" t="s">
        <v>31</v>
      </c>
      <c r="C18" s="25"/>
      <c r="D18" s="26"/>
      <c r="E18" s="5"/>
      <c r="F18" s="27" t="s">
        <v>46</v>
      </c>
    </row>
    <row r="19">
      <c r="A19" s="16"/>
      <c r="B19" s="28" t="s">
        <v>43</v>
      </c>
      <c r="C19" s="29"/>
      <c r="D19" s="26"/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336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5.0</v>
      </c>
      <c r="E21" s="6">
        <f t="shared" ref="E21:E24" si="4">C21-D21</f>
        <v>11</v>
      </c>
      <c r="F21" s="12"/>
    </row>
    <row r="22">
      <c r="A22" s="16"/>
      <c r="B22" s="28" t="s">
        <v>35</v>
      </c>
      <c r="C22" s="5">
        <v>24.0</v>
      </c>
      <c r="D22" s="5">
        <v>2.0</v>
      </c>
      <c r="E22" s="6">
        <f t="shared" si="4"/>
        <v>22</v>
      </c>
      <c r="F22" s="12"/>
    </row>
    <row r="23">
      <c r="A23" s="16"/>
      <c r="B23" s="28" t="s">
        <v>36</v>
      </c>
      <c r="C23" s="5">
        <v>16.0</v>
      </c>
      <c r="D23" s="5">
        <v>1.0</v>
      </c>
      <c r="E23" s="6">
        <f t="shared" si="4"/>
        <v>15</v>
      </c>
      <c r="F23" s="12"/>
    </row>
    <row r="24">
      <c r="A24" s="16"/>
      <c r="B24" s="28" t="s">
        <v>37</v>
      </c>
      <c r="C24" s="5">
        <v>23.0</v>
      </c>
      <c r="D24" s="5">
        <v>5.0</v>
      </c>
      <c r="E24" s="5">
        <f t="shared" si="4"/>
        <v>18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66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26.0</v>
      </c>
      <c r="D34" s="5"/>
      <c r="E34" s="6">
        <f>C34-D42</f>
        <v>26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26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1035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3.0</v>
      </c>
      <c r="E2" s="6">
        <f t="shared" ref="E2:E5" si="1">C2-D2</f>
        <v>105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11.0</v>
      </c>
      <c r="E4" s="6">
        <f t="shared" si="1"/>
        <v>295</v>
      </c>
    </row>
    <row r="5">
      <c r="A5" s="16"/>
      <c r="B5" s="15" t="s">
        <v>19</v>
      </c>
      <c r="C5" s="6">
        <v>35.0</v>
      </c>
      <c r="D5" s="5">
        <v>0.0</v>
      </c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537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>
        <v>9.0</v>
      </c>
      <c r="D10" s="5"/>
      <c r="E10" s="54">
        <f>C10</f>
        <v>9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4.0</v>
      </c>
      <c r="E12" s="6">
        <f t="shared" si="3"/>
        <v>31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118</v>
      </c>
    </row>
    <row r="15">
      <c r="A15" s="14" t="s">
        <v>27</v>
      </c>
      <c r="B15" s="15" t="s">
        <v>28</v>
      </c>
      <c r="C15" s="5">
        <v>236.0</v>
      </c>
      <c r="D15" s="5">
        <v>12.0</v>
      </c>
      <c r="E15" s="5">
        <f>C15-D15</f>
        <v>224</v>
      </c>
    </row>
    <row r="16">
      <c r="A16" s="16"/>
      <c r="B16" s="15" t="s">
        <v>29</v>
      </c>
      <c r="C16" s="5">
        <v>7.0</v>
      </c>
      <c r="D16" s="5">
        <v>0.0</v>
      </c>
      <c r="E16" s="5"/>
    </row>
    <row r="17">
      <c r="A17" s="16"/>
      <c r="B17" s="4" t="s">
        <v>30</v>
      </c>
      <c r="C17" s="6">
        <v>138.0</v>
      </c>
      <c r="D17" s="5">
        <v>7.0</v>
      </c>
      <c r="E17" s="5">
        <f>C17-D17</f>
        <v>131</v>
      </c>
    </row>
    <row r="18">
      <c r="A18" s="16"/>
      <c r="B18" s="24" t="s">
        <v>31</v>
      </c>
      <c r="C18" s="25"/>
      <c r="D18" s="26"/>
      <c r="E18" s="5"/>
      <c r="F18" s="27" t="s">
        <v>46</v>
      </c>
    </row>
    <row r="19">
      <c r="A19" s="16"/>
      <c r="B19" s="28" t="s">
        <v>43</v>
      </c>
      <c r="C19" s="29"/>
      <c r="D19" s="26"/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355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1.0</v>
      </c>
      <c r="E21" s="6">
        <f t="shared" ref="E21:E24" si="4">C21-D21</f>
        <v>15</v>
      </c>
      <c r="F21" s="12"/>
    </row>
    <row r="22">
      <c r="A22" s="16"/>
      <c r="B22" s="28" t="s">
        <v>35</v>
      </c>
      <c r="C22" s="5">
        <v>24.0</v>
      </c>
      <c r="D22" s="5">
        <v>1.0</v>
      </c>
      <c r="E22" s="6">
        <f t="shared" si="4"/>
        <v>23</v>
      </c>
      <c r="F22" s="12"/>
    </row>
    <row r="23">
      <c r="A23" s="16"/>
      <c r="B23" s="28" t="s">
        <v>36</v>
      </c>
      <c r="C23" s="5">
        <v>16.0</v>
      </c>
      <c r="D23" s="5">
        <v>2.0</v>
      </c>
      <c r="E23" s="6">
        <f t="shared" si="4"/>
        <v>14</v>
      </c>
      <c r="F23" s="12"/>
    </row>
    <row r="24">
      <c r="A24" s="16"/>
      <c r="B24" s="28" t="s">
        <v>37</v>
      </c>
      <c r="C24" s="5">
        <v>23.0</v>
      </c>
      <c r="D24" s="5">
        <v>3.0</v>
      </c>
      <c r="E24" s="5">
        <f t="shared" si="4"/>
        <v>20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72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26.0</v>
      </c>
      <c r="D34" s="5"/>
      <c r="E34" s="6">
        <f>C34-D42</f>
        <v>26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26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1127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12.0</v>
      </c>
      <c r="E2" s="6">
        <f t="shared" ref="E2:E5" si="1">C2-D2</f>
        <v>96</v>
      </c>
    </row>
    <row r="3">
      <c r="A3" s="16"/>
      <c r="B3" s="15" t="s">
        <v>17</v>
      </c>
      <c r="C3" s="6">
        <v>104.0</v>
      </c>
      <c r="D3" s="5">
        <v>12.0</v>
      </c>
      <c r="E3" s="6">
        <f t="shared" si="1"/>
        <v>92</v>
      </c>
    </row>
    <row r="4">
      <c r="A4" s="16"/>
      <c r="B4" s="15" t="s">
        <v>18</v>
      </c>
      <c r="C4" s="6">
        <v>306.0</v>
      </c>
      <c r="D4" s="5">
        <v>83.0</v>
      </c>
      <c r="E4" s="6">
        <f t="shared" si="1"/>
        <v>223</v>
      </c>
    </row>
    <row r="5">
      <c r="A5" s="16"/>
      <c r="B5" s="15" t="s">
        <v>19</v>
      </c>
      <c r="C5" s="6">
        <v>35.0</v>
      </c>
      <c r="D5" s="5">
        <v>11.0</v>
      </c>
      <c r="E5" s="6">
        <f t="shared" si="1"/>
        <v>24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435</v>
      </c>
    </row>
    <row r="8">
      <c r="A8" s="14" t="s">
        <v>21</v>
      </c>
      <c r="B8" s="15" t="s">
        <v>22</v>
      </c>
      <c r="C8" s="5">
        <v>35.0</v>
      </c>
      <c r="D8" s="5">
        <v>33.0</v>
      </c>
      <c r="E8" s="6">
        <f t="shared" ref="E8:E9" si="2">C8-D8</f>
        <v>2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10.0</v>
      </c>
      <c r="E11" s="6">
        <f t="shared" ref="E11:E12" si="3">C11-D11</f>
        <v>15</v>
      </c>
    </row>
    <row r="12">
      <c r="A12" s="16"/>
      <c r="B12" s="15" t="s">
        <v>25</v>
      </c>
      <c r="C12" s="5">
        <v>35.0</v>
      </c>
      <c r="D12" s="5">
        <v>11.0</v>
      </c>
      <c r="E12" s="6">
        <f t="shared" si="3"/>
        <v>24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64</v>
      </c>
    </row>
    <row r="15">
      <c r="A15" s="14" t="s">
        <v>27</v>
      </c>
      <c r="B15" s="15" t="s">
        <v>28</v>
      </c>
      <c r="C15" s="6">
        <v>236.0</v>
      </c>
      <c r="D15" s="5">
        <v>157.0</v>
      </c>
      <c r="E15" s="5">
        <f>C15-D15</f>
        <v>79</v>
      </c>
    </row>
    <row r="16">
      <c r="A16" s="16"/>
      <c r="B16" s="15" t="s">
        <v>29</v>
      </c>
      <c r="C16" s="5"/>
      <c r="D16" s="5"/>
      <c r="E16" s="5"/>
    </row>
    <row r="17">
      <c r="A17" s="16"/>
      <c r="B17" s="4" t="s">
        <v>30</v>
      </c>
      <c r="C17" s="6">
        <v>138.0</v>
      </c>
      <c r="D17" s="5">
        <v>138.0</v>
      </c>
      <c r="E17" s="5">
        <f>C17-D17</f>
        <v>0</v>
      </c>
    </row>
    <row r="18">
      <c r="A18" s="16"/>
      <c r="B18" s="24" t="s">
        <v>31</v>
      </c>
      <c r="C18" s="25"/>
      <c r="D18" s="26"/>
      <c r="E18" s="5"/>
      <c r="F18" s="27" t="s">
        <v>46</v>
      </c>
    </row>
    <row r="19">
      <c r="A19" s="16"/>
      <c r="B19" s="28" t="s">
        <v>43</v>
      </c>
      <c r="C19" s="29"/>
      <c r="D19" s="26"/>
      <c r="E19" s="31"/>
      <c r="F19" s="12"/>
    </row>
    <row r="20">
      <c r="A20" s="18"/>
      <c r="B20" s="23" t="s">
        <v>32</v>
      </c>
      <c r="C20" s="20"/>
      <c r="D20" s="21"/>
      <c r="E20" s="22">
        <f>SUM(E15:E19)</f>
        <v>79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4" si="4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4"/>
        <v>0</v>
      </c>
      <c r="F24" s="12"/>
    </row>
    <row r="25">
      <c r="A25" s="16"/>
      <c r="B25" s="28" t="s">
        <v>43</v>
      </c>
      <c r="C25" s="17"/>
      <c r="D25" s="26"/>
      <c r="E25" s="31" t="str">
        <f>C25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31.0</v>
      </c>
      <c r="D28" s="37"/>
      <c r="E28" s="38">
        <f t="shared" si="5"/>
        <v>31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31</v>
      </c>
    </row>
    <row r="31">
      <c r="A31" s="30" t="s">
        <v>49</v>
      </c>
      <c r="B31" s="4" t="s">
        <v>41</v>
      </c>
      <c r="C31" s="5">
        <v>17.0</v>
      </c>
      <c r="D31" s="5"/>
      <c r="E31" s="6">
        <f>C31-D31</f>
        <v>17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17</v>
      </c>
    </row>
    <row r="34">
      <c r="A34" s="30" t="s">
        <v>40</v>
      </c>
      <c r="B34" s="4" t="s">
        <v>41</v>
      </c>
      <c r="C34" s="5">
        <v>23.0</v>
      </c>
      <c r="D34" s="5"/>
      <c r="E34" s="6">
        <f>C34-D42</f>
        <v>23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23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649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3.0</v>
      </c>
      <c r="E2" s="6">
        <f t="shared" ref="E2:E5" si="1">C2-D2</f>
        <v>105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52.0</v>
      </c>
      <c r="E4" s="6">
        <f t="shared" si="1"/>
        <v>254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495</v>
      </c>
    </row>
    <row r="8">
      <c r="A8" s="14" t="s">
        <v>21</v>
      </c>
      <c r="B8" s="15" t="s">
        <v>22</v>
      </c>
      <c r="C8" s="5">
        <v>35.0</v>
      </c>
      <c r="D8" s="5">
        <v>15.0</v>
      </c>
      <c r="E8" s="6">
        <f t="shared" ref="E8:E9" si="2">C8-D8</f>
        <v>20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11.0</v>
      </c>
      <c r="E11" s="6">
        <f t="shared" ref="E11:E12" si="3">C11-D11</f>
        <v>14</v>
      </c>
    </row>
    <row r="12">
      <c r="A12" s="16"/>
      <c r="B12" s="15" t="s">
        <v>25</v>
      </c>
      <c r="C12" s="5">
        <v>35.0</v>
      </c>
      <c r="D12" s="5">
        <v>8.0</v>
      </c>
      <c r="E12" s="6">
        <f t="shared" si="3"/>
        <v>27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91</v>
      </c>
    </row>
    <row r="15">
      <c r="A15" s="14" t="s">
        <v>27</v>
      </c>
      <c r="B15" s="15" t="s">
        <v>28</v>
      </c>
      <c r="C15" s="6">
        <v>236.0</v>
      </c>
      <c r="D15" s="5">
        <v>138.0</v>
      </c>
      <c r="E15" s="5">
        <f t="shared" ref="E15:E19" si="4">C15-D15</f>
        <v>98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116.0</v>
      </c>
      <c r="E17" s="5">
        <f t="shared" si="4"/>
        <v>22</v>
      </c>
    </row>
    <row r="18">
      <c r="A18" s="16"/>
      <c r="B18" s="24" t="s">
        <v>31</v>
      </c>
      <c r="C18" s="25">
        <v>30.0</v>
      </c>
      <c r="D18" s="26">
        <v>30.0</v>
      </c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4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120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4" si="5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5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5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20.0</v>
      </c>
      <c r="D34" s="5"/>
      <c r="E34" s="6">
        <f>C34-D42</f>
        <v>20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726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0.0</v>
      </c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14.0</v>
      </c>
      <c r="E4" s="6">
        <f t="shared" si="1"/>
        <v>292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534</v>
      </c>
    </row>
    <row r="8">
      <c r="A8" s="14" t="s">
        <v>21</v>
      </c>
      <c r="B8" s="15" t="s">
        <v>22</v>
      </c>
      <c r="C8" s="5">
        <v>35.0</v>
      </c>
      <c r="D8" s="5">
        <v>0.0</v>
      </c>
      <c r="E8" s="6">
        <f t="shared" ref="E8:E9" si="2">C8-D8</f>
        <v>35</v>
      </c>
    </row>
    <row r="9">
      <c r="A9" s="16"/>
      <c r="B9" s="15" t="s">
        <v>23</v>
      </c>
      <c r="C9" s="5">
        <f>25</f>
        <v>25</v>
      </c>
      <c r="D9" s="5">
        <v>0.0</v>
      </c>
      <c r="E9" s="6">
        <f t="shared" si="2"/>
        <v>25</v>
      </c>
    </row>
    <row r="10">
      <c r="A10" s="16"/>
      <c r="B10" s="4" t="s">
        <v>44</v>
      </c>
      <c r="C10" s="5">
        <v>8.0</v>
      </c>
      <c r="D10" s="5">
        <v>0.0</v>
      </c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0.0</v>
      </c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>
        <v>0.0</v>
      </c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128</v>
      </c>
    </row>
    <row r="15">
      <c r="A15" s="14" t="s">
        <v>27</v>
      </c>
      <c r="B15" s="15" t="s">
        <v>28</v>
      </c>
      <c r="C15" s="6">
        <v>236.0</v>
      </c>
      <c r="D15" s="5">
        <v>20.0</v>
      </c>
      <c r="E15" s="5">
        <f t="shared" ref="E15:E19" si="4">C15-D15</f>
        <v>216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7.0</v>
      </c>
      <c r="E17" s="5">
        <f t="shared" si="4"/>
        <v>131</v>
      </c>
    </row>
    <row r="18">
      <c r="A18" s="16"/>
      <c r="B18" s="24" t="s">
        <v>31</v>
      </c>
      <c r="C18" s="25">
        <v>30.0</v>
      </c>
      <c r="D18" s="5">
        <v>12.0</v>
      </c>
      <c r="E18" s="5">
        <f t="shared" si="4"/>
        <v>18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4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365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2.0</v>
      </c>
      <c r="E21" s="6">
        <f t="shared" ref="E21:E24" si="5">C21-D21</f>
        <v>14</v>
      </c>
      <c r="F21" s="12"/>
    </row>
    <row r="22">
      <c r="A22" s="16"/>
      <c r="B22" s="28" t="s">
        <v>35</v>
      </c>
      <c r="C22" s="5">
        <v>24.0</v>
      </c>
      <c r="D22" s="5">
        <v>1.0</v>
      </c>
      <c r="E22" s="6">
        <f t="shared" si="5"/>
        <v>23</v>
      </c>
      <c r="F22" s="12"/>
    </row>
    <row r="23">
      <c r="A23" s="16"/>
      <c r="B23" s="28" t="s">
        <v>36</v>
      </c>
      <c r="C23" s="5">
        <v>24.0</v>
      </c>
      <c r="D23" s="5">
        <v>3.0</v>
      </c>
      <c r="E23" s="6">
        <f t="shared" si="5"/>
        <v>21</v>
      </c>
      <c r="F23" s="12"/>
    </row>
    <row r="24">
      <c r="A24" s="16"/>
      <c r="B24" s="28" t="s">
        <v>37</v>
      </c>
      <c r="C24" s="5">
        <v>23.0</v>
      </c>
      <c r="D24" s="5">
        <v>1.0</v>
      </c>
      <c r="E24" s="5">
        <f t="shared" si="5"/>
        <v>22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80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29.0</v>
      </c>
      <c r="D34" s="5"/>
      <c r="E34" s="6">
        <f>C34-D42</f>
        <v>29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1136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22.0</v>
      </c>
      <c r="E4" s="6">
        <f t="shared" si="1"/>
        <v>284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521</v>
      </c>
    </row>
    <row r="8">
      <c r="A8" s="14" t="s">
        <v>21</v>
      </c>
      <c r="B8" s="15" t="s">
        <v>22</v>
      </c>
      <c r="C8" s="5">
        <v>35.0</v>
      </c>
      <c r="D8" s="5">
        <v>6.0</v>
      </c>
      <c r="E8" s="6">
        <f t="shared" ref="E8:E9" si="2">C8-D8</f>
        <v>29</v>
      </c>
    </row>
    <row r="9">
      <c r="A9" s="16"/>
      <c r="B9" s="15" t="s">
        <v>23</v>
      </c>
      <c r="C9" s="5">
        <f>25</f>
        <v>25</v>
      </c>
      <c r="D9" s="5">
        <v>5.0</v>
      </c>
      <c r="E9" s="6">
        <f t="shared" si="2"/>
        <v>20</v>
      </c>
    </row>
    <row r="10">
      <c r="A10" s="16"/>
      <c r="B10" s="4" t="s">
        <v>44</v>
      </c>
      <c r="C10" s="5">
        <v>8.0</v>
      </c>
      <c r="D10" s="5">
        <v>0.0</v>
      </c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6.0</v>
      </c>
      <c r="E11" s="6">
        <f t="shared" ref="E11:E12" si="3">C11-D11</f>
        <v>19</v>
      </c>
    </row>
    <row r="12">
      <c r="A12" s="16"/>
      <c r="B12" s="15" t="s">
        <v>25</v>
      </c>
      <c r="C12" s="5">
        <v>35.0</v>
      </c>
      <c r="D12" s="5">
        <v>5.0</v>
      </c>
      <c r="E12" s="6">
        <f t="shared" si="3"/>
        <v>30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106</v>
      </c>
    </row>
    <row r="15">
      <c r="A15" s="14" t="s">
        <v>27</v>
      </c>
      <c r="B15" s="15" t="s">
        <v>28</v>
      </c>
      <c r="C15" s="6">
        <v>236.0</v>
      </c>
      <c r="D15" s="5">
        <v>18.0</v>
      </c>
      <c r="E15" s="5">
        <f t="shared" ref="E15:E19" si="4">C15-D15</f>
        <v>218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16.0</v>
      </c>
      <c r="E17" s="5">
        <f t="shared" si="4"/>
        <v>122</v>
      </c>
    </row>
    <row r="18">
      <c r="A18" s="16"/>
      <c r="B18" s="24" t="s">
        <v>31</v>
      </c>
      <c r="C18" s="25">
        <v>30.0</v>
      </c>
      <c r="D18" s="5">
        <v>28.0</v>
      </c>
      <c r="E18" s="5">
        <f t="shared" si="4"/>
        <v>2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4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342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0.0</v>
      </c>
      <c r="E21" s="6">
        <f t="shared" ref="E21:E24" si="5">C21-D21</f>
        <v>16</v>
      </c>
      <c r="F21" s="12"/>
    </row>
    <row r="22">
      <c r="A22" s="16"/>
      <c r="B22" s="28" t="s">
        <v>35</v>
      </c>
      <c r="C22" s="5">
        <v>24.0</v>
      </c>
      <c r="D22" s="5">
        <v>8.0</v>
      </c>
      <c r="E22" s="6">
        <f t="shared" si="5"/>
        <v>16</v>
      </c>
      <c r="F22" s="12"/>
    </row>
    <row r="23">
      <c r="A23" s="16"/>
      <c r="B23" s="28" t="s">
        <v>36</v>
      </c>
      <c r="C23" s="5">
        <v>24.0</v>
      </c>
      <c r="D23" s="5">
        <v>2.0</v>
      </c>
      <c r="E23" s="6">
        <f t="shared" si="5"/>
        <v>22</v>
      </c>
      <c r="F23" s="12"/>
    </row>
    <row r="24">
      <c r="A24" s="16"/>
      <c r="B24" s="28" t="s">
        <v>37</v>
      </c>
      <c r="C24" s="5">
        <v>23.0</v>
      </c>
      <c r="D24" s="5">
        <v>2.0</v>
      </c>
      <c r="E24" s="5">
        <f t="shared" si="5"/>
        <v>21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75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29.0</v>
      </c>
      <c r="D34" s="5"/>
      <c r="E34" s="6">
        <f>C34-D42</f>
        <v>29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1073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1.0</v>
      </c>
      <c r="E2" s="6">
        <f t="shared" ref="E2:E5" si="1">C2-D2</f>
        <v>107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36.0</v>
      </c>
      <c r="E4" s="6">
        <f t="shared" si="1"/>
        <v>270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511</v>
      </c>
    </row>
    <row r="8">
      <c r="A8" s="14" t="s">
        <v>21</v>
      </c>
      <c r="B8" s="15" t="s">
        <v>22</v>
      </c>
      <c r="C8" s="5">
        <v>35.0</v>
      </c>
      <c r="D8" s="5"/>
      <c r="E8" s="6">
        <f t="shared" ref="E8:E9" si="2">C8-D8</f>
        <v>35</v>
      </c>
    </row>
    <row r="9">
      <c r="A9" s="16"/>
      <c r="B9" s="15" t="s">
        <v>23</v>
      </c>
      <c r="C9" s="5">
        <f>25</f>
        <v>25</v>
      </c>
      <c r="D9" s="5"/>
      <c r="E9" s="6">
        <f t="shared" si="2"/>
        <v>25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/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/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128</v>
      </c>
    </row>
    <row r="15">
      <c r="A15" s="14" t="s">
        <v>27</v>
      </c>
      <c r="B15" s="15" t="s">
        <v>28</v>
      </c>
      <c r="C15" s="6">
        <v>236.0</v>
      </c>
      <c r="D15" s="5">
        <v>4.0</v>
      </c>
      <c r="E15" s="5">
        <f t="shared" ref="E15:E19" si="4">C15-D15</f>
        <v>232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3.0</v>
      </c>
      <c r="E17" s="5">
        <f t="shared" si="4"/>
        <v>135</v>
      </c>
    </row>
    <row r="18">
      <c r="A18" s="16"/>
      <c r="B18" s="24" t="s">
        <v>31</v>
      </c>
      <c r="C18" s="25">
        <v>30.0</v>
      </c>
      <c r="D18" s="26"/>
      <c r="E18" s="5">
        <f t="shared" si="4"/>
        <v>30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4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397</v>
      </c>
      <c r="F20" s="12"/>
    </row>
    <row r="21">
      <c r="A21" s="30" t="s">
        <v>33</v>
      </c>
      <c r="B21" s="28" t="s">
        <v>34</v>
      </c>
      <c r="C21" s="5">
        <v>16.0</v>
      </c>
      <c r="D21" s="5"/>
      <c r="E21" s="6">
        <f t="shared" ref="E21:E24" si="5">C21-D21</f>
        <v>16</v>
      </c>
      <c r="F21" s="12"/>
    </row>
    <row r="22">
      <c r="A22" s="16"/>
      <c r="B22" s="28" t="s">
        <v>35</v>
      </c>
      <c r="C22" s="5">
        <v>24.0</v>
      </c>
      <c r="D22" s="5"/>
      <c r="E22" s="6">
        <f t="shared" si="5"/>
        <v>24</v>
      </c>
      <c r="F22" s="12"/>
    </row>
    <row r="23">
      <c r="A23" s="16"/>
      <c r="B23" s="28" t="s">
        <v>36</v>
      </c>
      <c r="C23" s="5">
        <v>24.0</v>
      </c>
      <c r="D23" s="5"/>
      <c r="E23" s="6">
        <f t="shared" si="5"/>
        <v>24</v>
      </c>
      <c r="F23" s="12"/>
    </row>
    <row r="24">
      <c r="A24" s="16"/>
      <c r="B24" s="28" t="s">
        <v>37</v>
      </c>
      <c r="C24" s="5">
        <v>23.0</v>
      </c>
      <c r="D24" s="5"/>
      <c r="E24" s="5">
        <f t="shared" si="5"/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87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29.0</v>
      </c>
      <c r="D34" s="5"/>
      <c r="E34" s="6">
        <f>C34-D42</f>
        <v>29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1152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16.0</v>
      </c>
      <c r="E2" s="6">
        <f t="shared" ref="E2:E5" si="1">C2-D2</f>
        <v>92</v>
      </c>
    </row>
    <row r="3">
      <c r="A3" s="16"/>
      <c r="B3" s="15" t="s">
        <v>17</v>
      </c>
      <c r="C3" s="6">
        <v>104.0</v>
      </c>
      <c r="D3" s="5">
        <v>10.0</v>
      </c>
      <c r="E3" s="6">
        <f t="shared" si="1"/>
        <v>94</v>
      </c>
    </row>
    <row r="4">
      <c r="A4" s="16"/>
      <c r="B4" s="15" t="s">
        <v>18</v>
      </c>
      <c r="C4" s="6">
        <v>306.0</v>
      </c>
      <c r="D4" s="5">
        <v>71.0</v>
      </c>
      <c r="E4" s="6">
        <f t="shared" si="1"/>
        <v>235</v>
      </c>
    </row>
    <row r="5">
      <c r="A5" s="16"/>
      <c r="B5" s="15" t="s">
        <v>19</v>
      </c>
      <c r="C5" s="6">
        <v>35.0</v>
      </c>
      <c r="D5" s="5">
        <v>12.0</v>
      </c>
      <c r="E5" s="6">
        <f t="shared" si="1"/>
        <v>23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444</v>
      </c>
    </row>
    <row r="8">
      <c r="A8" s="14" t="s">
        <v>21</v>
      </c>
      <c r="B8" s="15" t="s">
        <v>22</v>
      </c>
      <c r="C8" s="5">
        <v>35.0</v>
      </c>
      <c r="D8" s="5">
        <v>14.0</v>
      </c>
      <c r="E8" s="6">
        <f t="shared" ref="E8:E9" si="2">C8-D8</f>
        <v>21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>
        <v>8.0</v>
      </c>
      <c r="D10" s="5">
        <v>3.0</v>
      </c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9.0</v>
      </c>
      <c r="E11" s="6">
        <f t="shared" ref="E11:E12" si="3">C11-D11</f>
        <v>16</v>
      </c>
    </row>
    <row r="12">
      <c r="A12" s="16"/>
      <c r="B12" s="15" t="s">
        <v>25</v>
      </c>
      <c r="C12" s="5">
        <v>35.0</v>
      </c>
      <c r="D12" s="5">
        <v>6.0</v>
      </c>
      <c r="E12" s="6">
        <f t="shared" si="3"/>
        <v>29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89</v>
      </c>
    </row>
    <row r="15">
      <c r="A15" s="14" t="s">
        <v>27</v>
      </c>
      <c r="B15" s="15" t="s">
        <v>28</v>
      </c>
      <c r="C15" s="6">
        <v>236.0</v>
      </c>
      <c r="D15" s="5">
        <v>80.0</v>
      </c>
      <c r="E15" s="5">
        <f t="shared" ref="E15:E18" si="4">C15-D15</f>
        <v>156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61.0</v>
      </c>
      <c r="E17" s="5">
        <f t="shared" si="4"/>
        <v>77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233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12.0</v>
      </c>
      <c r="E21" s="6">
        <f t="shared" ref="E21:E24" si="5">C21-D21</f>
        <v>4</v>
      </c>
      <c r="F21" s="12"/>
    </row>
    <row r="22">
      <c r="A22" s="16"/>
      <c r="B22" s="28" t="s">
        <v>35</v>
      </c>
      <c r="C22" s="5">
        <v>24.0</v>
      </c>
      <c r="D22" s="5">
        <v>16.0</v>
      </c>
      <c r="E22" s="6">
        <f t="shared" si="5"/>
        <v>8</v>
      </c>
      <c r="F22" s="12"/>
    </row>
    <row r="23">
      <c r="A23" s="16"/>
      <c r="B23" s="28" t="s">
        <v>36</v>
      </c>
      <c r="C23" s="5">
        <v>24.0</v>
      </c>
      <c r="D23" s="5">
        <v>13.0</v>
      </c>
      <c r="E23" s="6">
        <f t="shared" si="5"/>
        <v>11</v>
      </c>
      <c r="F23" s="12"/>
    </row>
    <row r="24">
      <c r="A24" s="16"/>
      <c r="B24" s="28" t="s">
        <v>37</v>
      </c>
      <c r="C24" s="5">
        <v>23.0</v>
      </c>
      <c r="D24" s="5">
        <v>18.0</v>
      </c>
      <c r="E24" s="5">
        <f t="shared" si="5"/>
        <v>5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28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29.0</v>
      </c>
      <c r="D34" s="5"/>
      <c r="E34" s="6">
        <f>C34-D42</f>
        <v>29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823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</row>
    <row r="3">
      <c r="A3" s="4" t="s">
        <v>6</v>
      </c>
      <c r="B3" s="5">
        <v>126.0</v>
      </c>
      <c r="C3" s="5">
        <v>58.0</v>
      </c>
      <c r="D3" s="5"/>
      <c r="E3" s="6">
        <f t="shared" ref="E3:E5" si="1">(B3+C3)-D19</f>
        <v>184</v>
      </c>
    </row>
    <row r="4">
      <c r="A4" s="4" t="s">
        <v>7</v>
      </c>
      <c r="B4" s="5">
        <v>224.0</v>
      </c>
      <c r="C4" s="5">
        <v>18.0</v>
      </c>
      <c r="D4" s="5"/>
      <c r="E4" s="6">
        <f t="shared" si="1"/>
        <v>242</v>
      </c>
    </row>
    <row r="5">
      <c r="A5" s="4" t="s">
        <v>8</v>
      </c>
      <c r="B5" s="5">
        <v>150.0</v>
      </c>
      <c r="C5" s="5">
        <v>56.0</v>
      </c>
      <c r="D5" s="5"/>
      <c r="E5" s="6">
        <f t="shared" si="1"/>
        <v>206</v>
      </c>
    </row>
    <row r="6">
      <c r="D6" s="7" t="s">
        <v>9</v>
      </c>
      <c r="E6" s="8">
        <f>SUM(E3:E5)</f>
        <v>632</v>
      </c>
    </row>
    <row r="9">
      <c r="A9" s="1" t="s">
        <v>10</v>
      </c>
    </row>
    <row r="10">
      <c r="A10" s="2" t="s">
        <v>1</v>
      </c>
      <c r="B10" s="3" t="s">
        <v>2</v>
      </c>
      <c r="C10" s="2" t="s">
        <v>3</v>
      </c>
      <c r="D10" s="3" t="s">
        <v>4</v>
      </c>
      <c r="E10" s="3" t="s">
        <v>5</v>
      </c>
    </row>
    <row r="11">
      <c r="A11" s="4" t="s">
        <v>6</v>
      </c>
      <c r="B11" s="5">
        <v>126.0</v>
      </c>
      <c r="C11" s="5">
        <v>85.0</v>
      </c>
      <c r="D11" s="5"/>
      <c r="E11" s="6">
        <f t="shared" ref="E11:E13" si="2">(B11+C11)-D11</f>
        <v>211</v>
      </c>
    </row>
    <row r="12">
      <c r="A12" s="4" t="s">
        <v>7</v>
      </c>
      <c r="B12" s="5">
        <v>224.0</v>
      </c>
      <c r="C12" s="5">
        <v>14.0</v>
      </c>
      <c r="D12" s="5"/>
      <c r="E12" s="6">
        <f t="shared" si="2"/>
        <v>238</v>
      </c>
    </row>
    <row r="13">
      <c r="A13" s="4" t="s">
        <v>8</v>
      </c>
      <c r="B13" s="5">
        <v>150.0</v>
      </c>
      <c r="C13" s="5">
        <v>89.0</v>
      </c>
      <c r="D13" s="5"/>
      <c r="E13" s="6">
        <f t="shared" si="2"/>
        <v>239</v>
      </c>
    </row>
    <row r="14">
      <c r="D14" s="7" t="s">
        <v>9</v>
      </c>
      <c r="E14" s="8">
        <f>SUM(E11:E13)</f>
        <v>688</v>
      </c>
    </row>
    <row r="17">
      <c r="A17" s="1" t="s">
        <v>11</v>
      </c>
    </row>
    <row r="18">
      <c r="A18" s="2" t="s">
        <v>1</v>
      </c>
      <c r="B18" s="3" t="s">
        <v>2</v>
      </c>
      <c r="C18" s="2" t="s">
        <v>3</v>
      </c>
      <c r="D18" s="3" t="s">
        <v>4</v>
      </c>
      <c r="E18" s="3" t="s">
        <v>5</v>
      </c>
    </row>
    <row r="19">
      <c r="A19" s="4" t="s">
        <v>6</v>
      </c>
      <c r="B19" s="5">
        <v>126.0</v>
      </c>
      <c r="C19" s="5">
        <v>146.0</v>
      </c>
      <c r="D19" s="5"/>
      <c r="E19" s="6">
        <f t="shared" ref="E19:E21" si="3">(B19+C19)-D19</f>
        <v>272</v>
      </c>
    </row>
    <row r="20">
      <c r="A20" s="4" t="s">
        <v>7</v>
      </c>
      <c r="B20" s="5">
        <v>224.0</v>
      </c>
      <c r="C20" s="5">
        <v>47.0</v>
      </c>
      <c r="D20" s="5"/>
      <c r="E20" s="6">
        <f t="shared" si="3"/>
        <v>271</v>
      </c>
    </row>
    <row r="21">
      <c r="A21" s="4" t="s">
        <v>8</v>
      </c>
      <c r="B21" s="5">
        <v>150.0</v>
      </c>
      <c r="C21" s="5">
        <v>91.0</v>
      </c>
      <c r="D21" s="5"/>
      <c r="E21" s="6">
        <f t="shared" si="3"/>
        <v>241</v>
      </c>
    </row>
    <row r="22">
      <c r="D22" s="7" t="s">
        <v>9</v>
      </c>
      <c r="E22" s="8">
        <f>SUM(E19:E21)</f>
        <v>784</v>
      </c>
    </row>
    <row r="25">
      <c r="A25" s="1" t="s">
        <v>12</v>
      </c>
    </row>
    <row r="26">
      <c r="A26" s="2" t="s">
        <v>1</v>
      </c>
      <c r="B26" s="3" t="s">
        <v>2</v>
      </c>
      <c r="C26" s="2" t="s">
        <v>3</v>
      </c>
      <c r="D26" s="3" t="s">
        <v>4</v>
      </c>
      <c r="E26" s="3" t="s">
        <v>5</v>
      </c>
    </row>
    <row r="27">
      <c r="A27" s="4" t="s">
        <v>6</v>
      </c>
      <c r="B27" s="5">
        <v>126.0</v>
      </c>
      <c r="C27" s="5">
        <v>45.0</v>
      </c>
      <c r="D27" s="5"/>
      <c r="E27" s="6">
        <f t="shared" ref="E27:E29" si="4">(B27+C27)-D27</f>
        <v>171</v>
      </c>
    </row>
    <row r="28">
      <c r="A28" s="4" t="s">
        <v>7</v>
      </c>
      <c r="B28" s="5">
        <v>224.0</v>
      </c>
      <c r="C28" s="5">
        <v>3.0</v>
      </c>
      <c r="D28" s="5"/>
      <c r="E28" s="6">
        <f t="shared" si="4"/>
        <v>227</v>
      </c>
    </row>
    <row r="29">
      <c r="A29" s="4" t="s">
        <v>8</v>
      </c>
      <c r="B29" s="5">
        <v>150.0</v>
      </c>
      <c r="C29" s="5">
        <v>26.0</v>
      </c>
      <c r="D29" s="5"/>
      <c r="E29" s="6">
        <f t="shared" si="4"/>
        <v>176</v>
      </c>
    </row>
    <row r="30">
      <c r="D30" s="7" t="s">
        <v>9</v>
      </c>
      <c r="E30" s="8">
        <f>SUM(E27:E29)</f>
        <v>574</v>
      </c>
    </row>
    <row r="33">
      <c r="A33" s="1" t="s">
        <v>13</v>
      </c>
    </row>
    <row r="34">
      <c r="A34" s="2" t="s">
        <v>1</v>
      </c>
      <c r="B34" s="3" t="s">
        <v>2</v>
      </c>
      <c r="C34" s="2" t="s">
        <v>3</v>
      </c>
      <c r="D34" s="3" t="s">
        <v>4</v>
      </c>
      <c r="E34" s="3" t="s">
        <v>5</v>
      </c>
    </row>
    <row r="35">
      <c r="A35" s="4" t="s">
        <v>6</v>
      </c>
      <c r="B35" s="5">
        <v>126.0</v>
      </c>
      <c r="C35" s="5"/>
      <c r="D35" s="5">
        <v>38.0</v>
      </c>
      <c r="E35" s="6">
        <f t="shared" ref="E35:E36" si="5">B35-D35</f>
        <v>88</v>
      </c>
    </row>
    <row r="36">
      <c r="A36" s="4" t="s">
        <v>7</v>
      </c>
      <c r="B36" s="5">
        <v>224.0</v>
      </c>
      <c r="C36" s="5"/>
      <c r="D36" s="5">
        <v>58.0</v>
      </c>
      <c r="E36" s="6">
        <f t="shared" si="5"/>
        <v>166</v>
      </c>
    </row>
    <row r="37">
      <c r="A37" s="4" t="s">
        <v>8</v>
      </c>
      <c r="B37" s="5">
        <v>150.0</v>
      </c>
      <c r="C37" s="5"/>
      <c r="D37" s="5">
        <v>37.0</v>
      </c>
      <c r="E37" s="6">
        <f>B37-D37+C37</f>
        <v>113</v>
      </c>
    </row>
    <row r="38">
      <c r="D38" s="7" t="s">
        <v>9</v>
      </c>
      <c r="E38" s="8">
        <f>SUM(E35:E37)</f>
        <v>367</v>
      </c>
    </row>
    <row r="41">
      <c r="D41" s="9" t="s">
        <v>14</v>
      </c>
      <c r="E41" s="10">
        <f>SUM(E38+E30+E22+E14+E6)</f>
        <v>3045</v>
      </c>
    </row>
    <row r="45">
      <c r="C45" s="11"/>
      <c r="D45" s="12"/>
    </row>
  </sheetData>
  <mergeCells count="5">
    <mergeCell ref="A1:E1"/>
    <mergeCell ref="A9:E9"/>
    <mergeCell ref="A17:E17"/>
    <mergeCell ref="A25:E25"/>
    <mergeCell ref="A33:E33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26.0</v>
      </c>
      <c r="E2" s="6">
        <f t="shared" ref="E2:E5" si="1">C2-D2</f>
        <v>82</v>
      </c>
    </row>
    <row r="3">
      <c r="A3" s="16"/>
      <c r="B3" s="15" t="s">
        <v>17</v>
      </c>
      <c r="C3" s="6">
        <v>104.0</v>
      </c>
      <c r="D3" s="5">
        <v>31.0</v>
      </c>
      <c r="E3" s="6">
        <f t="shared" si="1"/>
        <v>73</v>
      </c>
    </row>
    <row r="4">
      <c r="A4" s="16"/>
      <c r="B4" s="15" t="s">
        <v>18</v>
      </c>
      <c r="C4" s="6">
        <v>306.0</v>
      </c>
      <c r="D4" s="5">
        <v>63.0</v>
      </c>
      <c r="E4" s="6">
        <f t="shared" si="1"/>
        <v>243</v>
      </c>
    </row>
    <row r="5">
      <c r="A5" s="16"/>
      <c r="B5" s="15" t="s">
        <v>19</v>
      </c>
      <c r="C5" s="6">
        <v>35.0</v>
      </c>
      <c r="D5" s="5">
        <v>18.0</v>
      </c>
      <c r="E5" s="6">
        <f t="shared" si="1"/>
        <v>17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415</v>
      </c>
    </row>
    <row r="8">
      <c r="A8" s="14" t="s">
        <v>21</v>
      </c>
      <c r="B8" s="15" t="s">
        <v>22</v>
      </c>
      <c r="C8" s="5">
        <v>35.0</v>
      </c>
      <c r="D8" s="5">
        <v>25.0</v>
      </c>
      <c r="E8" s="6">
        <f t="shared" ref="E8:E12" si="2">C8-D8</f>
        <v>10</v>
      </c>
    </row>
    <row r="9">
      <c r="A9" s="16"/>
      <c r="B9" s="15" t="s">
        <v>23</v>
      </c>
      <c r="C9" s="5">
        <f>25</f>
        <v>25</v>
      </c>
      <c r="D9" s="5">
        <v>9.0</v>
      </c>
      <c r="E9" s="6">
        <f t="shared" si="2"/>
        <v>16</v>
      </c>
    </row>
    <row r="10">
      <c r="A10" s="16"/>
      <c r="B10" s="4" t="s">
        <v>44</v>
      </c>
      <c r="C10" s="5">
        <v>8.0</v>
      </c>
      <c r="D10" s="5">
        <v>2.0</v>
      </c>
      <c r="E10" s="6">
        <f t="shared" si="2"/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9.0</v>
      </c>
      <c r="E11" s="6">
        <f t="shared" si="2"/>
        <v>16</v>
      </c>
    </row>
    <row r="12">
      <c r="A12" s="16"/>
      <c r="B12" s="15" t="s">
        <v>25</v>
      </c>
      <c r="C12" s="5">
        <v>35.0</v>
      </c>
      <c r="D12" s="5">
        <v>25.0</v>
      </c>
      <c r="E12" s="6">
        <f t="shared" si="2"/>
        <v>10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58</v>
      </c>
    </row>
    <row r="15">
      <c r="A15" s="14" t="s">
        <v>27</v>
      </c>
      <c r="B15" s="15" t="s">
        <v>28</v>
      </c>
      <c r="C15" s="6">
        <v>236.0</v>
      </c>
      <c r="D15" s="5">
        <v>91.0</v>
      </c>
      <c r="E15" s="5">
        <f t="shared" ref="E15:E18" si="3">C15-D15</f>
        <v>145</v>
      </c>
    </row>
    <row r="16">
      <c r="A16" s="16"/>
      <c r="B16" s="15" t="s">
        <v>29</v>
      </c>
      <c r="C16" s="5"/>
      <c r="D16" s="5"/>
      <c r="E16" s="5">
        <f t="shared" si="3"/>
        <v>0</v>
      </c>
    </row>
    <row r="17">
      <c r="A17" s="16"/>
      <c r="B17" s="4" t="s">
        <v>30</v>
      </c>
      <c r="C17" s="6">
        <v>138.0</v>
      </c>
      <c r="D17" s="5">
        <v>63.0</v>
      </c>
      <c r="E17" s="5">
        <f t="shared" si="3"/>
        <v>75</v>
      </c>
    </row>
    <row r="18">
      <c r="A18" s="16"/>
      <c r="B18" s="24" t="s">
        <v>31</v>
      </c>
      <c r="C18" s="25"/>
      <c r="D18" s="26"/>
      <c r="E18" s="5">
        <f t="shared" si="3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220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4" si="4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36</v>
      </c>
      <c r="C23" s="5">
        <v>24.0</v>
      </c>
      <c r="D23" s="5">
        <v>23.0</v>
      </c>
      <c r="E23" s="6">
        <f t="shared" si="4"/>
        <v>1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4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30.0</v>
      </c>
      <c r="D34" s="5"/>
      <c r="E34" s="6">
        <f>C34-D34</f>
        <v>30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724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28.0</v>
      </c>
      <c r="E4" s="6">
        <f t="shared" si="1"/>
        <v>278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515</v>
      </c>
    </row>
    <row r="8">
      <c r="A8" s="14" t="s">
        <v>21</v>
      </c>
      <c r="B8" s="15" t="s">
        <v>22</v>
      </c>
      <c r="C8" s="5">
        <v>35.0</v>
      </c>
      <c r="D8" s="5">
        <v>6.0</v>
      </c>
      <c r="E8" s="6">
        <f t="shared" ref="E8:E9" si="2">C8-D8</f>
        <v>29</v>
      </c>
    </row>
    <row r="9">
      <c r="A9" s="16"/>
      <c r="B9" s="15" t="s">
        <v>23</v>
      </c>
      <c r="C9" s="5">
        <f>25</f>
        <v>25</v>
      </c>
      <c r="D9" s="5">
        <v>8.0</v>
      </c>
      <c r="E9" s="6">
        <f t="shared" si="2"/>
        <v>17</v>
      </c>
    </row>
    <row r="10">
      <c r="A10" s="16"/>
      <c r="B10" s="4" t="s">
        <v>44</v>
      </c>
      <c r="C10" s="5">
        <v>8.0</v>
      </c>
      <c r="D10" s="5">
        <v>3.0</v>
      </c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4.0</v>
      </c>
      <c r="E11" s="6">
        <f t="shared" ref="E11:E12" si="3">C11-D11</f>
        <v>21</v>
      </c>
    </row>
    <row r="12">
      <c r="A12" s="16"/>
      <c r="B12" s="15" t="s">
        <v>25</v>
      </c>
      <c r="C12" s="5">
        <v>35.0</v>
      </c>
      <c r="D12" s="5">
        <v>8.0</v>
      </c>
      <c r="E12" s="6">
        <f t="shared" si="3"/>
        <v>27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102</v>
      </c>
    </row>
    <row r="15">
      <c r="A15" s="14" t="s">
        <v>27</v>
      </c>
      <c r="B15" s="15" t="s">
        <v>28</v>
      </c>
      <c r="C15" s="6">
        <v>236.0</v>
      </c>
      <c r="D15" s="5">
        <v>33.0</v>
      </c>
      <c r="E15" s="5">
        <f t="shared" ref="E15:E18" si="4">C15-D15</f>
        <v>203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15.0</v>
      </c>
      <c r="E17" s="5">
        <f t="shared" si="4"/>
        <v>123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326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15.0</v>
      </c>
      <c r="E21" s="6">
        <f t="shared" ref="E21:E24" si="5">C21-D21</f>
        <v>1</v>
      </c>
      <c r="F21" s="12"/>
    </row>
    <row r="22">
      <c r="A22" s="16"/>
      <c r="B22" s="28" t="s">
        <v>35</v>
      </c>
      <c r="C22" s="5">
        <v>24.0</v>
      </c>
      <c r="D22" s="5">
        <v>22.0</v>
      </c>
      <c r="E22" s="6">
        <f t="shared" si="5"/>
        <v>2</v>
      </c>
      <c r="F22" s="12"/>
    </row>
    <row r="23">
      <c r="A23" s="16"/>
      <c r="B23" s="28" t="s">
        <v>36</v>
      </c>
      <c r="C23" s="5">
        <v>24.0</v>
      </c>
      <c r="D23" s="5">
        <v>20.0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>
        <v>15.0</v>
      </c>
      <c r="E24" s="5">
        <f t="shared" si="5"/>
        <v>8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15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32.0</v>
      </c>
      <c r="D34" s="5"/>
      <c r="E34" s="6">
        <f>C34-D34</f>
        <v>32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990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5" si="1">C2-D2</f>
        <v>104</v>
      </c>
    </row>
    <row r="3">
      <c r="A3" s="16"/>
      <c r="B3" s="15" t="s">
        <v>17</v>
      </c>
      <c r="C3" s="6">
        <v>104.0</v>
      </c>
      <c r="D3" s="5">
        <v>7.0</v>
      </c>
      <c r="E3" s="6">
        <f t="shared" si="1"/>
        <v>97</v>
      </c>
    </row>
    <row r="4">
      <c r="A4" s="16"/>
      <c r="B4" s="15" t="s">
        <v>18</v>
      </c>
      <c r="C4" s="6">
        <v>306.0</v>
      </c>
      <c r="D4" s="5">
        <v>48.0</v>
      </c>
      <c r="E4" s="6">
        <f t="shared" si="1"/>
        <v>258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492</v>
      </c>
    </row>
    <row r="8">
      <c r="A8" s="14" t="s">
        <v>21</v>
      </c>
      <c r="B8" s="15" t="s">
        <v>22</v>
      </c>
      <c r="C8" s="5">
        <v>35.0</v>
      </c>
      <c r="D8" s="5">
        <v>4.0</v>
      </c>
      <c r="E8" s="6">
        <f t="shared" ref="E8:E9" si="2">C8-D8</f>
        <v>31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4" t="s">
        <v>44</v>
      </c>
      <c r="C10" s="5">
        <v>7.0</v>
      </c>
      <c r="D10" s="5"/>
      <c r="E10" s="54">
        <f>C10</f>
        <v>7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3.0</v>
      </c>
      <c r="E11" s="6">
        <f t="shared" ref="E11:E12" si="3">C11-D11</f>
        <v>22</v>
      </c>
    </row>
    <row r="12">
      <c r="A12" s="16"/>
      <c r="B12" s="15" t="s">
        <v>25</v>
      </c>
      <c r="C12" s="5">
        <v>35.0</v>
      </c>
      <c r="D12" s="5">
        <v>5.0</v>
      </c>
      <c r="E12" s="6">
        <f t="shared" si="3"/>
        <v>30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113</v>
      </c>
    </row>
    <row r="15">
      <c r="A15" s="14" t="s">
        <v>27</v>
      </c>
      <c r="B15" s="15" t="s">
        <v>28</v>
      </c>
      <c r="C15" s="6">
        <v>236.0</v>
      </c>
      <c r="D15" s="5">
        <v>28.0</v>
      </c>
      <c r="E15" s="5">
        <f t="shared" ref="E15:E19" si="4">C15-D15</f>
        <v>208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25.0</v>
      </c>
      <c r="E17" s="5">
        <f t="shared" si="4"/>
        <v>113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4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321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10.0</v>
      </c>
      <c r="E21" s="6">
        <f t="shared" ref="E21:E24" si="5">C21-D21</f>
        <v>6</v>
      </c>
      <c r="F21" s="12"/>
    </row>
    <row r="22">
      <c r="A22" s="16"/>
      <c r="B22" s="28" t="s">
        <v>35</v>
      </c>
      <c r="C22" s="5">
        <v>24.0</v>
      </c>
      <c r="D22" s="5">
        <v>4.0</v>
      </c>
      <c r="E22" s="6">
        <f t="shared" si="5"/>
        <v>20</v>
      </c>
      <c r="F22" s="12"/>
    </row>
    <row r="23">
      <c r="A23" s="16"/>
      <c r="B23" s="28" t="s">
        <v>36</v>
      </c>
      <c r="C23" s="5">
        <v>16.0</v>
      </c>
      <c r="D23" s="5">
        <v>7.0</v>
      </c>
      <c r="E23" s="6">
        <f t="shared" si="5"/>
        <v>9</v>
      </c>
      <c r="F23" s="12"/>
    </row>
    <row r="24">
      <c r="A24" s="16"/>
      <c r="B24" s="28" t="s">
        <v>37</v>
      </c>
      <c r="C24" s="5">
        <v>23.0</v>
      </c>
      <c r="D24" s="5">
        <v>12.0</v>
      </c>
      <c r="E24" s="5">
        <f t="shared" si="5"/>
        <v>11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46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32.0</v>
      </c>
      <c r="D34" s="5"/>
      <c r="E34" s="6">
        <f>C34-D42</f>
        <v>32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1004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8.0</v>
      </c>
      <c r="E2" s="6">
        <f t="shared" ref="E2:E5" si="1">C2-D2</f>
        <v>100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54.0</v>
      </c>
      <c r="E4" s="6">
        <f t="shared" si="1"/>
        <v>252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487</v>
      </c>
    </row>
    <row r="8">
      <c r="A8" s="14" t="s">
        <v>21</v>
      </c>
      <c r="B8" s="15" t="s">
        <v>22</v>
      </c>
      <c r="C8" s="5">
        <v>35.0</v>
      </c>
      <c r="D8" s="5">
        <v>15.0</v>
      </c>
      <c r="E8" s="6">
        <f t="shared" ref="E8:E9" si="2">C8-D8</f>
        <v>20</v>
      </c>
    </row>
    <row r="9">
      <c r="A9" s="16"/>
      <c r="B9" s="15" t="s">
        <v>23</v>
      </c>
      <c r="C9" s="5">
        <f>25</f>
        <v>25</v>
      </c>
      <c r="D9" s="5">
        <v>8.0</v>
      </c>
      <c r="E9" s="6">
        <f t="shared" si="2"/>
        <v>17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11.0</v>
      </c>
      <c r="E11" s="6">
        <f t="shared" ref="E11:E12" si="3">C11-D11</f>
        <v>14</v>
      </c>
    </row>
    <row r="12">
      <c r="A12" s="16"/>
      <c r="B12" s="15" t="s">
        <v>25</v>
      </c>
      <c r="C12" s="5">
        <v>35.0</v>
      </c>
      <c r="D12" s="5">
        <v>17.0</v>
      </c>
      <c r="E12" s="6">
        <f t="shared" si="3"/>
        <v>18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75</v>
      </c>
    </row>
    <row r="15">
      <c r="A15" s="14" t="s">
        <v>27</v>
      </c>
      <c r="B15" s="15" t="s">
        <v>28</v>
      </c>
      <c r="C15" s="6">
        <v>236.0</v>
      </c>
      <c r="D15" s="5">
        <v>30.0</v>
      </c>
      <c r="E15" s="5">
        <f t="shared" ref="E15:E18" si="4">C15-D15</f>
        <v>206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43.0</v>
      </c>
      <c r="E17" s="5">
        <f t="shared" si="4"/>
        <v>95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301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5.0</v>
      </c>
      <c r="E21" s="6">
        <f t="shared" ref="E21:E24" si="5">C21-D21</f>
        <v>11</v>
      </c>
      <c r="F21" s="12"/>
    </row>
    <row r="22">
      <c r="A22" s="16"/>
      <c r="B22" s="28" t="s">
        <v>35</v>
      </c>
      <c r="C22" s="5">
        <v>24.0</v>
      </c>
      <c r="D22" s="5"/>
      <c r="E22" s="6">
        <f t="shared" si="5"/>
        <v>24</v>
      </c>
      <c r="F22" s="12"/>
    </row>
    <row r="23">
      <c r="A23" s="16"/>
      <c r="B23" s="28" t="s">
        <v>36</v>
      </c>
      <c r="C23" s="5">
        <v>16.0</v>
      </c>
      <c r="D23" s="5">
        <v>10.0</v>
      </c>
      <c r="E23" s="6">
        <f t="shared" si="5"/>
        <v>6</v>
      </c>
      <c r="F23" s="12"/>
    </row>
    <row r="24">
      <c r="A24" s="16"/>
      <c r="B24" s="28" t="s">
        <v>37</v>
      </c>
      <c r="C24" s="5">
        <v>23.0</v>
      </c>
      <c r="D24" s="5">
        <v>19.0</v>
      </c>
      <c r="E24" s="5">
        <f t="shared" si="5"/>
        <v>4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45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32.0</v>
      </c>
      <c r="D34" s="5"/>
      <c r="E34" s="6">
        <f>C34-D42</f>
        <v>32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940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44.0</v>
      </c>
      <c r="E2" s="6">
        <f t="shared" ref="E2:E5" si="1">C2-D2</f>
        <v>64</v>
      </c>
    </row>
    <row r="3">
      <c r="A3" s="16"/>
      <c r="B3" s="15" t="s">
        <v>17</v>
      </c>
      <c r="C3" s="6">
        <v>104.0</v>
      </c>
      <c r="D3" s="5">
        <v>24.0</v>
      </c>
      <c r="E3" s="6">
        <f t="shared" si="1"/>
        <v>80</v>
      </c>
    </row>
    <row r="4">
      <c r="A4" s="16"/>
      <c r="B4" s="15" t="s">
        <v>18</v>
      </c>
      <c r="C4" s="6">
        <v>306.0</v>
      </c>
      <c r="D4" s="5">
        <v>98.0</v>
      </c>
      <c r="E4" s="6">
        <f t="shared" si="1"/>
        <v>208</v>
      </c>
    </row>
    <row r="5">
      <c r="A5" s="16"/>
      <c r="B5" s="15" t="s">
        <v>19</v>
      </c>
      <c r="C5" s="6">
        <v>35.0</v>
      </c>
      <c r="D5" s="5">
        <v>35.0</v>
      </c>
      <c r="E5" s="6">
        <f t="shared" si="1"/>
        <v>0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352</v>
      </c>
    </row>
    <row r="8">
      <c r="A8" s="14" t="s">
        <v>21</v>
      </c>
      <c r="B8" s="15" t="s">
        <v>22</v>
      </c>
      <c r="C8" s="5">
        <v>35.0</v>
      </c>
      <c r="D8" s="5">
        <v>35.0</v>
      </c>
      <c r="E8" s="6">
        <f t="shared" ref="E8:E12" si="2">C8-D8</f>
        <v>0</v>
      </c>
    </row>
    <row r="9">
      <c r="A9" s="16"/>
      <c r="B9" s="15" t="s">
        <v>23</v>
      </c>
      <c r="C9" s="5">
        <f>25</f>
        <v>25</v>
      </c>
      <c r="D9" s="5">
        <v>25.0</v>
      </c>
      <c r="E9" s="6">
        <f t="shared" si="2"/>
        <v>0</v>
      </c>
    </row>
    <row r="10">
      <c r="A10" s="16"/>
      <c r="B10" s="4" t="s">
        <v>44</v>
      </c>
      <c r="C10" s="5">
        <v>8.0</v>
      </c>
      <c r="D10" s="5">
        <v>8.0</v>
      </c>
      <c r="E10" s="54">
        <f t="shared" si="2"/>
        <v>0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7.0</v>
      </c>
      <c r="E11" s="6">
        <f t="shared" si="2"/>
        <v>18</v>
      </c>
    </row>
    <row r="12">
      <c r="A12" s="16"/>
      <c r="B12" s="15" t="s">
        <v>25</v>
      </c>
      <c r="C12" s="5">
        <v>35.0</v>
      </c>
      <c r="D12" s="5">
        <v>35.0</v>
      </c>
      <c r="E12" s="6">
        <f t="shared" si="2"/>
        <v>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18</v>
      </c>
    </row>
    <row r="15">
      <c r="A15" s="14" t="s">
        <v>27</v>
      </c>
      <c r="B15" s="15" t="s">
        <v>28</v>
      </c>
      <c r="C15" s="6">
        <v>236.0</v>
      </c>
      <c r="D15" s="5">
        <v>148.0</v>
      </c>
      <c r="E15" s="5">
        <f t="shared" ref="E15:E19" si="3">C15-D15</f>
        <v>88</v>
      </c>
    </row>
    <row r="16">
      <c r="A16" s="16"/>
      <c r="B16" s="15" t="s">
        <v>29</v>
      </c>
      <c r="C16" s="5"/>
      <c r="D16" s="5"/>
      <c r="E16" s="5">
        <f t="shared" si="3"/>
        <v>0</v>
      </c>
    </row>
    <row r="17">
      <c r="A17" s="16"/>
      <c r="B17" s="4" t="s">
        <v>30</v>
      </c>
      <c r="C17" s="6">
        <v>138.0</v>
      </c>
      <c r="D17" s="5">
        <v>134.0</v>
      </c>
      <c r="E17" s="5">
        <f t="shared" si="3"/>
        <v>4</v>
      </c>
    </row>
    <row r="18">
      <c r="A18" s="16"/>
      <c r="B18" s="24" t="s">
        <v>31</v>
      </c>
      <c r="C18" s="25"/>
      <c r="D18" s="26"/>
      <c r="E18" s="5">
        <f t="shared" si="3"/>
        <v>0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3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92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14.0</v>
      </c>
      <c r="E21" s="6">
        <f t="shared" ref="E21:E24" si="4">C21-D21</f>
        <v>2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4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22.0</v>
      </c>
      <c r="D34" s="5"/>
      <c r="E34" s="6">
        <f>C34-D42</f>
        <v>22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486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23.0</v>
      </c>
      <c r="E2" s="6">
        <f t="shared" ref="E2:E5" si="1">C2-D2</f>
        <v>85</v>
      </c>
    </row>
    <row r="3">
      <c r="A3" s="16"/>
      <c r="B3" s="15" t="s">
        <v>17</v>
      </c>
      <c r="C3" s="6">
        <v>104.0</v>
      </c>
      <c r="D3" s="5">
        <v>11.0</v>
      </c>
      <c r="E3" s="6">
        <f t="shared" si="1"/>
        <v>93</v>
      </c>
    </row>
    <row r="4">
      <c r="A4" s="16"/>
      <c r="B4" s="15" t="s">
        <v>18</v>
      </c>
      <c r="C4" s="6">
        <v>306.0</v>
      </c>
      <c r="D4" s="5">
        <v>89.0</v>
      </c>
      <c r="E4" s="6">
        <f t="shared" si="1"/>
        <v>217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>
        <v>12.0</v>
      </c>
      <c r="D6" s="5"/>
      <c r="E6" s="6">
        <f>C6</f>
        <v>12</v>
      </c>
    </row>
    <row r="7">
      <c r="A7" s="18"/>
      <c r="B7" s="19" t="s">
        <v>20</v>
      </c>
      <c r="C7" s="20"/>
      <c r="D7" s="21"/>
      <c r="E7" s="22">
        <f>SUM(E2:E6)</f>
        <v>442</v>
      </c>
    </row>
    <row r="8">
      <c r="A8" s="14" t="s">
        <v>21</v>
      </c>
      <c r="B8" s="15" t="s">
        <v>22</v>
      </c>
      <c r="C8" s="5">
        <v>35.0</v>
      </c>
      <c r="D8" s="5">
        <v>18.0</v>
      </c>
      <c r="E8" s="6">
        <f t="shared" ref="E8:E9" si="2">C8-D8</f>
        <v>17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>
        <v>10.0</v>
      </c>
      <c r="D10" s="5">
        <v>3.0</v>
      </c>
      <c r="E10" s="54">
        <f>C10</f>
        <v>10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13.0</v>
      </c>
      <c r="E11" s="6">
        <f t="shared" ref="E11:E12" si="3">C11-D11</f>
        <v>12</v>
      </c>
    </row>
    <row r="12">
      <c r="A12" s="16"/>
      <c r="B12" s="15" t="s">
        <v>25</v>
      </c>
      <c r="C12" s="5">
        <v>35.0</v>
      </c>
      <c r="D12" s="5">
        <v>14.0</v>
      </c>
      <c r="E12" s="6">
        <f t="shared" si="3"/>
        <v>21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75</v>
      </c>
    </row>
    <row r="15">
      <c r="A15" s="14" t="s">
        <v>27</v>
      </c>
      <c r="B15" s="15" t="s">
        <v>28</v>
      </c>
      <c r="C15" s="6">
        <v>236.0</v>
      </c>
      <c r="D15" s="5">
        <v>121.0</v>
      </c>
      <c r="E15" s="5">
        <f t="shared" ref="E15:E18" si="4">C15-D15</f>
        <v>115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104.0</v>
      </c>
      <c r="E17" s="5">
        <f t="shared" si="4"/>
        <v>34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149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4" si="5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5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5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17.0</v>
      </c>
      <c r="D34" s="5"/>
      <c r="E34" s="6">
        <f>C34-D42</f>
        <v>17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17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683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11.0</v>
      </c>
      <c r="E4" s="6">
        <f t="shared" si="1"/>
        <v>295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533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4" t="s">
        <v>44</v>
      </c>
      <c r="C10" s="5">
        <v>10.0</v>
      </c>
      <c r="D10" s="5">
        <v>8.0</v>
      </c>
      <c r="E10" s="54">
        <f>C10</f>
        <v>10</v>
      </c>
      <c r="F10" s="27" t="s">
        <v>45</v>
      </c>
    </row>
    <row r="11">
      <c r="A11" s="16"/>
      <c r="B11" s="15" t="s">
        <v>24</v>
      </c>
      <c r="C11" s="5">
        <v>25.0</v>
      </c>
      <c r="D11" s="5"/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/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126</v>
      </c>
    </row>
    <row r="15">
      <c r="A15" s="14" t="s">
        <v>27</v>
      </c>
      <c r="B15" s="15" t="s">
        <v>28</v>
      </c>
      <c r="C15" s="6">
        <v>236.0</v>
      </c>
      <c r="D15" s="5">
        <v>19.0</v>
      </c>
      <c r="E15" s="5">
        <f t="shared" ref="E15:E18" si="4">C15-D15</f>
        <v>217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12.0</v>
      </c>
      <c r="E17" s="5">
        <f t="shared" si="4"/>
        <v>126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343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1.0</v>
      </c>
      <c r="E21" s="6">
        <f t="shared" ref="E21:E24" si="5">C21-D21</f>
        <v>15</v>
      </c>
      <c r="F21" s="12"/>
    </row>
    <row r="22">
      <c r="A22" s="16"/>
      <c r="B22" s="28" t="s">
        <v>35</v>
      </c>
      <c r="C22" s="5">
        <v>24.0</v>
      </c>
      <c r="D22" s="5">
        <v>2.0</v>
      </c>
      <c r="E22" s="6">
        <f t="shared" si="5"/>
        <v>22</v>
      </c>
      <c r="F22" s="12"/>
    </row>
    <row r="23">
      <c r="A23" s="16"/>
      <c r="B23" s="28" t="s">
        <v>36</v>
      </c>
      <c r="C23" s="5">
        <v>24.0</v>
      </c>
      <c r="D23" s="5">
        <v>1.0</v>
      </c>
      <c r="E23" s="6">
        <f t="shared" si="5"/>
        <v>23</v>
      </c>
      <c r="F23" s="12"/>
    </row>
    <row r="24">
      <c r="A24" s="16"/>
      <c r="B24" s="28" t="s">
        <v>37</v>
      </c>
      <c r="C24" s="5">
        <v>23.0</v>
      </c>
      <c r="D24" s="5"/>
      <c r="E24" s="5">
        <f t="shared" si="5"/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83</v>
      </c>
      <c r="F26" s="12"/>
    </row>
    <row r="27">
      <c r="A27" s="30" t="s">
        <v>38</v>
      </c>
      <c r="B27" s="24" t="s">
        <v>47</v>
      </c>
      <c r="C27" s="38">
        <v>6.0</v>
      </c>
      <c r="D27" s="5"/>
      <c r="E27" s="38">
        <f t="shared" ref="E27:E28" si="6">C27-D27</f>
        <v>6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6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17.0</v>
      </c>
      <c r="D34" s="5"/>
      <c r="E34" s="6">
        <f>C34-D42</f>
        <v>17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17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1108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9.0</v>
      </c>
      <c r="E3" s="6">
        <f t="shared" si="1"/>
        <v>95</v>
      </c>
    </row>
    <row r="4">
      <c r="A4" s="16"/>
      <c r="B4" s="15" t="s">
        <v>18</v>
      </c>
      <c r="C4" s="6">
        <v>306.0</v>
      </c>
      <c r="D4" s="5">
        <v>9.0</v>
      </c>
      <c r="E4" s="6">
        <f t="shared" si="1"/>
        <v>297</v>
      </c>
    </row>
    <row r="5">
      <c r="A5" s="16"/>
      <c r="B5" s="15" t="s">
        <v>19</v>
      </c>
      <c r="C5" s="6">
        <v>35.0</v>
      </c>
      <c r="D5" s="5">
        <v>4.0</v>
      </c>
      <c r="E5" s="6">
        <f t="shared" si="1"/>
        <v>31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526</v>
      </c>
    </row>
    <row r="8">
      <c r="A8" s="14" t="s">
        <v>21</v>
      </c>
      <c r="B8" s="15" t="s">
        <v>22</v>
      </c>
      <c r="C8" s="5">
        <v>35.0</v>
      </c>
      <c r="D8" s="5">
        <v>22.0</v>
      </c>
      <c r="E8" s="6">
        <f t="shared" ref="E8:E9" si="2">C8-D8</f>
        <v>13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9.0</v>
      </c>
      <c r="E11" s="6">
        <f t="shared" ref="E11:E12" si="3">C11-D11</f>
        <v>16</v>
      </c>
    </row>
    <row r="12">
      <c r="A12" s="16"/>
      <c r="B12" s="15" t="s">
        <v>25</v>
      </c>
      <c r="C12" s="5">
        <v>35.0</v>
      </c>
      <c r="D12" s="5">
        <v>8.0</v>
      </c>
      <c r="E12" s="6">
        <f t="shared" si="3"/>
        <v>27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82</v>
      </c>
    </row>
    <row r="15">
      <c r="A15" s="14" t="s">
        <v>27</v>
      </c>
      <c r="B15" s="15" t="s">
        <v>28</v>
      </c>
      <c r="C15" s="6">
        <v>236.0</v>
      </c>
      <c r="D15" s="5">
        <v>51.0</v>
      </c>
      <c r="E15" s="5">
        <f t="shared" ref="E15:E18" si="4">C15-D15</f>
        <v>185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50.0</v>
      </c>
      <c r="E17" s="5">
        <f t="shared" si="4"/>
        <v>88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273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12.0</v>
      </c>
      <c r="E21" s="6">
        <f t="shared" ref="E21:E24" si="5">C21-D21</f>
        <v>4</v>
      </c>
      <c r="F21" s="12"/>
    </row>
    <row r="22">
      <c r="A22" s="16"/>
      <c r="B22" s="28" t="s">
        <v>35</v>
      </c>
      <c r="C22" s="5">
        <v>24.0</v>
      </c>
      <c r="D22" s="5">
        <v>19.0</v>
      </c>
      <c r="E22" s="6">
        <f t="shared" si="5"/>
        <v>5</v>
      </c>
      <c r="F22" s="12"/>
    </row>
    <row r="23">
      <c r="A23" s="16"/>
      <c r="B23" s="28" t="s">
        <v>36</v>
      </c>
      <c r="C23" s="5">
        <v>24.0</v>
      </c>
      <c r="D23" s="5">
        <v>14.0</v>
      </c>
      <c r="E23" s="6">
        <f t="shared" si="5"/>
        <v>10</v>
      </c>
      <c r="F23" s="12"/>
    </row>
    <row r="24">
      <c r="A24" s="16"/>
      <c r="B24" s="28" t="s">
        <v>37</v>
      </c>
      <c r="C24" s="5">
        <v>23.0</v>
      </c>
      <c r="D24" s="5">
        <v>17.0</v>
      </c>
      <c r="E24" s="5">
        <f t="shared" si="5"/>
        <v>6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25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35.0</v>
      </c>
      <c r="D34" s="5"/>
      <c r="E34" s="6">
        <f>C34-D42</f>
        <v>35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35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941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9.0</v>
      </c>
      <c r="E3" s="6">
        <f t="shared" si="1"/>
        <v>95</v>
      </c>
    </row>
    <row r="4">
      <c r="A4" s="16"/>
      <c r="B4" s="15" t="s">
        <v>18</v>
      </c>
      <c r="C4" s="6">
        <v>306.0</v>
      </c>
      <c r="D4" s="5">
        <v>12.0</v>
      </c>
      <c r="E4" s="6">
        <f t="shared" si="1"/>
        <v>294</v>
      </c>
    </row>
    <row r="5">
      <c r="A5" s="16"/>
      <c r="B5" s="15" t="s">
        <v>19</v>
      </c>
      <c r="C5" s="6">
        <v>35.0</v>
      </c>
      <c r="D5" s="5">
        <v>5.0</v>
      </c>
      <c r="E5" s="6">
        <f t="shared" si="1"/>
        <v>30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522</v>
      </c>
    </row>
    <row r="8">
      <c r="A8" s="14" t="s">
        <v>21</v>
      </c>
      <c r="B8" s="15" t="s">
        <v>22</v>
      </c>
      <c r="C8" s="5">
        <v>35.0</v>
      </c>
      <c r="D8" s="5">
        <v>12.0</v>
      </c>
      <c r="E8" s="6">
        <f t="shared" ref="E8:E9" si="2">C8-D8</f>
        <v>23</v>
      </c>
    </row>
    <row r="9">
      <c r="A9" s="16"/>
      <c r="B9" s="15" t="s">
        <v>23</v>
      </c>
      <c r="C9" s="5">
        <f>25</f>
        <v>25</v>
      </c>
      <c r="D9" s="5">
        <v>11.0</v>
      </c>
      <c r="E9" s="6">
        <f t="shared" si="2"/>
        <v>14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13.0</v>
      </c>
      <c r="E11" s="6">
        <f t="shared" ref="E11:E12" si="3">C11-D11</f>
        <v>12</v>
      </c>
    </row>
    <row r="12">
      <c r="A12" s="16"/>
      <c r="B12" s="15" t="s">
        <v>25</v>
      </c>
      <c r="C12" s="5">
        <v>35.0</v>
      </c>
      <c r="D12" s="5">
        <v>10.0</v>
      </c>
      <c r="E12" s="6">
        <f t="shared" si="3"/>
        <v>25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82</v>
      </c>
    </row>
    <row r="15">
      <c r="A15" s="14" t="s">
        <v>27</v>
      </c>
      <c r="B15" s="15" t="s">
        <v>28</v>
      </c>
      <c r="C15" s="6">
        <v>236.0</v>
      </c>
      <c r="D15" s="5">
        <v>45.0</v>
      </c>
      <c r="E15" s="5">
        <f t="shared" ref="E15:E18" si="4">C15-D15</f>
        <v>191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72.0</v>
      </c>
      <c r="E17" s="5">
        <f t="shared" si="4"/>
        <v>66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257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10.0</v>
      </c>
      <c r="E21" s="6">
        <f t="shared" ref="E21:E24" si="5">C21-D21</f>
        <v>6</v>
      </c>
      <c r="F21" s="12"/>
    </row>
    <row r="22">
      <c r="A22" s="16"/>
      <c r="B22" s="28" t="s">
        <v>35</v>
      </c>
      <c r="C22" s="5">
        <v>24.0</v>
      </c>
      <c r="D22" s="5">
        <v>18.0</v>
      </c>
      <c r="E22" s="6">
        <f t="shared" si="5"/>
        <v>6</v>
      </c>
      <c r="F22" s="12"/>
    </row>
    <row r="23">
      <c r="A23" s="16"/>
      <c r="B23" s="28" t="s">
        <v>36</v>
      </c>
      <c r="C23" s="5">
        <v>24.0</v>
      </c>
      <c r="D23" s="5">
        <v>12.0</v>
      </c>
      <c r="E23" s="6">
        <f t="shared" si="5"/>
        <v>12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5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24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35.0</v>
      </c>
      <c r="D34" s="5"/>
      <c r="E34" s="6">
        <f>C34-D42</f>
        <v>35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35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920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54.0</v>
      </c>
      <c r="E2" s="6">
        <f t="shared" ref="E2:E5" si="1">C2-D2</f>
        <v>54</v>
      </c>
    </row>
    <row r="3">
      <c r="A3" s="16"/>
      <c r="B3" s="15" t="s">
        <v>17</v>
      </c>
      <c r="C3" s="6">
        <v>104.0</v>
      </c>
      <c r="D3" s="5">
        <v>42.0</v>
      </c>
      <c r="E3" s="6">
        <f t="shared" si="1"/>
        <v>62</v>
      </c>
    </row>
    <row r="4">
      <c r="A4" s="16"/>
      <c r="B4" s="15" t="s">
        <v>18</v>
      </c>
      <c r="C4" s="6">
        <v>306.0</v>
      </c>
      <c r="D4" s="5">
        <v>145.0</v>
      </c>
      <c r="E4" s="6">
        <f t="shared" si="1"/>
        <v>161</v>
      </c>
    </row>
    <row r="5">
      <c r="A5" s="16"/>
      <c r="B5" s="15" t="s">
        <v>19</v>
      </c>
      <c r="C5" s="6">
        <v>35.0</v>
      </c>
      <c r="D5" s="5">
        <v>21.0</v>
      </c>
      <c r="E5" s="6">
        <f t="shared" si="1"/>
        <v>14</v>
      </c>
    </row>
    <row r="6">
      <c r="A6" s="16"/>
      <c r="B6" s="15" t="s">
        <v>43</v>
      </c>
      <c r="C6" s="17">
        <v>3.0</v>
      </c>
      <c r="D6" s="5"/>
      <c r="E6" s="6">
        <f>C6</f>
        <v>3</v>
      </c>
    </row>
    <row r="7">
      <c r="A7" s="18"/>
      <c r="B7" s="19" t="s">
        <v>20</v>
      </c>
      <c r="C7" s="20"/>
      <c r="D7" s="21"/>
      <c r="E7" s="22">
        <f>SUM(E2:E6)</f>
        <v>294</v>
      </c>
    </row>
    <row r="8">
      <c r="A8" s="14" t="s">
        <v>21</v>
      </c>
      <c r="B8" s="15" t="s">
        <v>22</v>
      </c>
      <c r="C8" s="5">
        <v>35.0</v>
      </c>
      <c r="D8" s="5">
        <v>33.0</v>
      </c>
      <c r="E8" s="6">
        <f t="shared" ref="E8:E9" si="2">C8-D8</f>
        <v>2</v>
      </c>
    </row>
    <row r="9">
      <c r="A9" s="16"/>
      <c r="B9" s="15" t="s">
        <v>23</v>
      </c>
      <c r="C9" s="5">
        <f>25</f>
        <v>25</v>
      </c>
      <c r="D9" s="5">
        <v>23.0</v>
      </c>
      <c r="E9" s="6">
        <f t="shared" si="2"/>
        <v>2</v>
      </c>
    </row>
    <row r="10">
      <c r="A10" s="16"/>
      <c r="B10" s="4" t="s">
        <v>44</v>
      </c>
      <c r="C10" s="5">
        <v>12.0</v>
      </c>
      <c r="D10" s="5"/>
      <c r="E10" s="54">
        <f>C10</f>
        <v>12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22.0</v>
      </c>
      <c r="E11" s="6">
        <f t="shared" ref="E11:E12" si="3">C11-D11</f>
        <v>3</v>
      </c>
    </row>
    <row r="12">
      <c r="A12" s="16"/>
      <c r="B12" s="15" t="s">
        <v>25</v>
      </c>
      <c r="C12" s="5">
        <v>35.0</v>
      </c>
      <c r="D12" s="5">
        <v>35.0</v>
      </c>
      <c r="E12" s="6">
        <f t="shared" si="3"/>
        <v>0</v>
      </c>
    </row>
    <row r="13">
      <c r="A13" s="16"/>
      <c r="B13" s="15" t="s">
        <v>43</v>
      </c>
      <c r="C13" s="17">
        <v>3.0</v>
      </c>
      <c r="D13" s="5"/>
      <c r="E13" s="5">
        <f>C13</f>
        <v>3</v>
      </c>
    </row>
    <row r="14">
      <c r="A14" s="18"/>
      <c r="B14" s="23" t="s">
        <v>26</v>
      </c>
      <c r="C14" s="20"/>
      <c r="D14" s="21"/>
      <c r="E14" s="22">
        <f>SUM(E8:E13)</f>
        <v>22</v>
      </c>
    </row>
    <row r="15">
      <c r="A15" s="14" t="s">
        <v>27</v>
      </c>
      <c r="B15" s="15" t="s">
        <v>28</v>
      </c>
      <c r="C15" s="6">
        <v>236.0</v>
      </c>
      <c r="D15" s="5">
        <v>200.0</v>
      </c>
      <c r="E15" s="5">
        <f t="shared" ref="E15:E18" si="4">C15-D15</f>
        <v>36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130.0</v>
      </c>
      <c r="E17" s="5">
        <f t="shared" si="4"/>
        <v>8</v>
      </c>
    </row>
    <row r="18">
      <c r="A18" s="16"/>
      <c r="B18" s="24" t="s">
        <v>31</v>
      </c>
      <c r="C18" s="25"/>
      <c r="D18" s="26"/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>
        <v>2.0</v>
      </c>
      <c r="D19" s="26"/>
      <c r="E19" s="31">
        <f>C19</f>
        <v>2</v>
      </c>
      <c r="F19" s="12"/>
    </row>
    <row r="20">
      <c r="A20" s="18"/>
      <c r="B20" s="23" t="s">
        <v>32</v>
      </c>
      <c r="C20" s="20"/>
      <c r="D20" s="21"/>
      <c r="E20" s="22">
        <f>SUM(E15:E19)</f>
        <v>46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4" si="5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5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5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19.0</v>
      </c>
      <c r="D34" s="5"/>
      <c r="E34" s="6">
        <f>C34-D42</f>
        <v>19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19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381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</row>
    <row r="3">
      <c r="A3" s="4" t="s">
        <v>6</v>
      </c>
      <c r="B3" s="5">
        <v>126.0</v>
      </c>
      <c r="C3" s="5">
        <v>127.0</v>
      </c>
      <c r="D3" s="5"/>
      <c r="E3" s="6">
        <f t="shared" ref="E3:E5" si="1">(B3+C3)-D19</f>
        <v>253</v>
      </c>
    </row>
    <row r="4">
      <c r="A4" s="4" t="s">
        <v>7</v>
      </c>
      <c r="B4" s="5">
        <v>224.0</v>
      </c>
      <c r="C4" s="5">
        <v>0.0</v>
      </c>
      <c r="D4" s="5"/>
      <c r="E4" s="6">
        <f t="shared" si="1"/>
        <v>224</v>
      </c>
    </row>
    <row r="5">
      <c r="A5" s="4" t="s">
        <v>8</v>
      </c>
      <c r="B5" s="5">
        <v>150.0</v>
      </c>
      <c r="C5" s="5">
        <v>91.0</v>
      </c>
      <c r="D5" s="5"/>
      <c r="E5" s="6">
        <f t="shared" si="1"/>
        <v>241</v>
      </c>
    </row>
    <row r="6">
      <c r="D6" s="7" t="s">
        <v>9</v>
      </c>
      <c r="E6" s="8">
        <f>SUM(E3:E5)</f>
        <v>718</v>
      </c>
    </row>
    <row r="9">
      <c r="A9" s="1" t="s">
        <v>10</v>
      </c>
    </row>
    <row r="10">
      <c r="A10" s="2" t="s">
        <v>1</v>
      </c>
      <c r="B10" s="3" t="s">
        <v>2</v>
      </c>
      <c r="C10" s="2" t="s">
        <v>3</v>
      </c>
      <c r="D10" s="3" t="s">
        <v>4</v>
      </c>
      <c r="E10" s="3" t="s">
        <v>5</v>
      </c>
    </row>
    <row r="11">
      <c r="A11" s="4" t="s">
        <v>6</v>
      </c>
      <c r="B11" s="5">
        <v>126.0</v>
      </c>
      <c r="C11" s="5">
        <v>190.0</v>
      </c>
      <c r="D11" s="5"/>
      <c r="E11" s="6">
        <f t="shared" ref="E11:E13" si="2">(B11+C11)-D11</f>
        <v>316</v>
      </c>
    </row>
    <row r="12">
      <c r="A12" s="4" t="s">
        <v>7</v>
      </c>
      <c r="B12" s="5">
        <v>224.0</v>
      </c>
      <c r="C12" s="5">
        <v>28.0</v>
      </c>
      <c r="D12" s="5"/>
      <c r="E12" s="6">
        <f t="shared" si="2"/>
        <v>252</v>
      </c>
    </row>
    <row r="13">
      <c r="A13" s="4" t="s">
        <v>8</v>
      </c>
      <c r="B13" s="5">
        <v>150.0</v>
      </c>
      <c r="C13" s="5">
        <v>150.0</v>
      </c>
      <c r="D13" s="5"/>
      <c r="E13" s="6">
        <f t="shared" si="2"/>
        <v>300</v>
      </c>
    </row>
    <row r="14">
      <c r="D14" s="7" t="s">
        <v>9</v>
      </c>
      <c r="E14" s="8">
        <f>SUM(E11:E13)</f>
        <v>868</v>
      </c>
    </row>
    <row r="17">
      <c r="A17" s="1" t="s">
        <v>11</v>
      </c>
    </row>
    <row r="18">
      <c r="A18" s="2" t="s">
        <v>1</v>
      </c>
      <c r="B18" s="3" t="s">
        <v>2</v>
      </c>
      <c r="C18" s="2" t="s">
        <v>3</v>
      </c>
      <c r="D18" s="3" t="s">
        <v>4</v>
      </c>
      <c r="E18" s="3" t="s">
        <v>5</v>
      </c>
    </row>
    <row r="19">
      <c r="A19" s="4" t="s">
        <v>6</v>
      </c>
      <c r="B19" s="5">
        <v>102.0</v>
      </c>
      <c r="C19" s="5"/>
      <c r="D19" s="5"/>
      <c r="E19" s="6">
        <f t="shared" ref="E19:E21" si="3">(B19+C19)-D19</f>
        <v>102</v>
      </c>
    </row>
    <row r="20">
      <c r="A20" s="4" t="s">
        <v>7</v>
      </c>
      <c r="B20" s="5">
        <v>288.0</v>
      </c>
      <c r="C20" s="5"/>
      <c r="D20" s="5"/>
      <c r="E20" s="6">
        <f t="shared" si="3"/>
        <v>288</v>
      </c>
    </row>
    <row r="21">
      <c r="A21" s="4" t="s">
        <v>8</v>
      </c>
      <c r="B21" s="5">
        <v>112.0</v>
      </c>
      <c r="C21" s="5"/>
      <c r="D21" s="5"/>
      <c r="E21" s="6">
        <f t="shared" si="3"/>
        <v>112</v>
      </c>
    </row>
    <row r="22">
      <c r="D22" s="7" t="s">
        <v>9</v>
      </c>
      <c r="E22" s="8">
        <f>SUM(E19:E21)</f>
        <v>502</v>
      </c>
    </row>
    <row r="25">
      <c r="A25" s="1" t="s">
        <v>12</v>
      </c>
    </row>
    <row r="26">
      <c r="A26" s="2" t="s">
        <v>1</v>
      </c>
      <c r="B26" s="3" t="s">
        <v>2</v>
      </c>
      <c r="C26" s="2" t="s">
        <v>3</v>
      </c>
      <c r="D26" s="3" t="s">
        <v>4</v>
      </c>
      <c r="E26" s="3" t="s">
        <v>5</v>
      </c>
    </row>
    <row r="27">
      <c r="A27" s="4" t="s">
        <v>6</v>
      </c>
      <c r="B27" s="5">
        <v>126.0</v>
      </c>
      <c r="C27" s="5">
        <v>80.0</v>
      </c>
      <c r="D27" s="5"/>
      <c r="E27" s="6">
        <f t="shared" ref="E27:E29" si="4">(B27+C27)-D27</f>
        <v>206</v>
      </c>
    </row>
    <row r="28">
      <c r="A28" s="4" t="s">
        <v>7</v>
      </c>
      <c r="B28" s="5">
        <v>224.0</v>
      </c>
      <c r="C28" s="5"/>
      <c r="D28" s="5"/>
      <c r="E28" s="6">
        <f t="shared" si="4"/>
        <v>224</v>
      </c>
    </row>
    <row r="29">
      <c r="A29" s="4" t="s">
        <v>8</v>
      </c>
      <c r="B29" s="5">
        <v>150.0</v>
      </c>
      <c r="C29" s="5">
        <v>82.0</v>
      </c>
      <c r="D29" s="5"/>
      <c r="E29" s="6">
        <f t="shared" si="4"/>
        <v>232</v>
      </c>
    </row>
    <row r="30">
      <c r="D30" s="7" t="s">
        <v>9</v>
      </c>
      <c r="E30" s="8">
        <f>SUM(E27:E29)</f>
        <v>662</v>
      </c>
    </row>
    <row r="33">
      <c r="A33" s="1" t="s">
        <v>13</v>
      </c>
    </row>
    <row r="34">
      <c r="A34" s="2" t="s">
        <v>1</v>
      </c>
      <c r="B34" s="3" t="s">
        <v>2</v>
      </c>
      <c r="C34" s="2" t="s">
        <v>3</v>
      </c>
      <c r="D34" s="3" t="s">
        <v>4</v>
      </c>
      <c r="E34" s="3" t="s">
        <v>5</v>
      </c>
    </row>
    <row r="35">
      <c r="A35" s="4" t="s">
        <v>6</v>
      </c>
      <c r="B35" s="5">
        <v>61.0</v>
      </c>
      <c r="C35" s="5"/>
      <c r="D35" s="5"/>
      <c r="E35" s="6">
        <f t="shared" ref="E35:E36" si="5">B35-D35</f>
        <v>61</v>
      </c>
    </row>
    <row r="36">
      <c r="A36" s="4" t="s">
        <v>7</v>
      </c>
      <c r="B36" s="5">
        <v>160.0</v>
      </c>
      <c r="C36" s="5"/>
      <c r="D36" s="5"/>
      <c r="E36" s="6">
        <f t="shared" si="5"/>
        <v>160</v>
      </c>
    </row>
    <row r="37">
      <c r="A37" s="4" t="s">
        <v>8</v>
      </c>
      <c r="B37" s="5">
        <v>59.0</v>
      </c>
      <c r="C37" s="5"/>
      <c r="D37" s="5"/>
      <c r="E37" s="6">
        <f>B37-D37+C37</f>
        <v>59</v>
      </c>
    </row>
    <row r="38">
      <c r="D38" s="7" t="s">
        <v>9</v>
      </c>
      <c r="E38" s="8">
        <f>SUM(E35:E37)</f>
        <v>280</v>
      </c>
    </row>
    <row r="41">
      <c r="D41" s="9" t="s">
        <v>14</v>
      </c>
      <c r="E41" s="10">
        <f>SUM(E38+E30+E22+E14+E6)</f>
        <v>3030</v>
      </c>
    </row>
    <row r="45">
      <c r="C45" s="11"/>
      <c r="D45" s="12"/>
    </row>
  </sheetData>
  <mergeCells count="5">
    <mergeCell ref="A1:E1"/>
    <mergeCell ref="A9:E9"/>
    <mergeCell ref="A17:E17"/>
    <mergeCell ref="A25:E25"/>
    <mergeCell ref="A33:E33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</row>
    <row r="3">
      <c r="A3" s="4" t="s">
        <v>6</v>
      </c>
      <c r="B3" s="5">
        <v>126.0</v>
      </c>
      <c r="C3" s="5">
        <v>127.0</v>
      </c>
      <c r="D3" s="5">
        <v>33.0</v>
      </c>
      <c r="E3" s="6">
        <f t="shared" ref="E3:E5" si="1">(B3+C3)-D19</f>
        <v>253</v>
      </c>
    </row>
    <row r="4">
      <c r="A4" s="4" t="s">
        <v>7</v>
      </c>
      <c r="B4" s="5">
        <v>224.0</v>
      </c>
      <c r="C4" s="5">
        <v>0.0</v>
      </c>
      <c r="D4" s="5">
        <v>18.0</v>
      </c>
      <c r="E4" s="6">
        <f t="shared" si="1"/>
        <v>213</v>
      </c>
    </row>
    <row r="5">
      <c r="A5" s="4" t="s">
        <v>8</v>
      </c>
      <c r="B5" s="5">
        <v>150.0</v>
      </c>
      <c r="C5" s="5">
        <v>91.0</v>
      </c>
      <c r="D5" s="5">
        <v>33.0</v>
      </c>
      <c r="E5" s="6">
        <f t="shared" si="1"/>
        <v>241</v>
      </c>
    </row>
    <row r="6">
      <c r="D6" s="7" t="s">
        <v>9</v>
      </c>
      <c r="E6" s="8">
        <f>SUM(E3:E5)</f>
        <v>707</v>
      </c>
    </row>
    <row r="9">
      <c r="A9" s="1" t="s">
        <v>10</v>
      </c>
    </row>
    <row r="10">
      <c r="A10" s="2" t="s">
        <v>1</v>
      </c>
      <c r="B10" s="3" t="s">
        <v>2</v>
      </c>
      <c r="C10" s="2" t="s">
        <v>3</v>
      </c>
      <c r="D10" s="3" t="s">
        <v>4</v>
      </c>
      <c r="E10" s="3" t="s">
        <v>5</v>
      </c>
    </row>
    <row r="11">
      <c r="A11" s="4" t="s">
        <v>6</v>
      </c>
      <c r="B11" s="5">
        <v>126.0</v>
      </c>
      <c r="C11" s="5">
        <v>190.0</v>
      </c>
      <c r="D11" s="5">
        <v>26.0</v>
      </c>
      <c r="E11" s="6">
        <f t="shared" ref="E11:E13" si="2">(B11+C11)-D11</f>
        <v>290</v>
      </c>
    </row>
    <row r="12">
      <c r="A12" s="4" t="s">
        <v>7</v>
      </c>
      <c r="B12" s="5">
        <v>224.0</v>
      </c>
      <c r="C12" s="5">
        <v>28.0</v>
      </c>
      <c r="D12" s="5">
        <v>0.0</v>
      </c>
      <c r="E12" s="6">
        <f t="shared" si="2"/>
        <v>252</v>
      </c>
    </row>
    <row r="13">
      <c r="A13" s="4" t="s">
        <v>8</v>
      </c>
      <c r="B13" s="5">
        <v>150.0</v>
      </c>
      <c r="C13" s="5">
        <v>150.0</v>
      </c>
      <c r="D13" s="5">
        <v>0.0</v>
      </c>
      <c r="E13" s="6">
        <f t="shared" si="2"/>
        <v>300</v>
      </c>
    </row>
    <row r="14">
      <c r="D14" s="7" t="s">
        <v>9</v>
      </c>
      <c r="E14" s="8">
        <f>SUM(E11:E13)</f>
        <v>842</v>
      </c>
    </row>
    <row r="17">
      <c r="A17" s="1" t="s">
        <v>11</v>
      </c>
    </row>
    <row r="18">
      <c r="A18" s="2" t="s">
        <v>1</v>
      </c>
      <c r="B18" s="3" t="s">
        <v>2</v>
      </c>
      <c r="C18" s="2" t="s">
        <v>3</v>
      </c>
      <c r="D18" s="3" t="s">
        <v>4</v>
      </c>
      <c r="E18" s="3" t="s">
        <v>5</v>
      </c>
    </row>
    <row r="19">
      <c r="A19" s="4" t="s">
        <v>6</v>
      </c>
      <c r="B19" s="5">
        <v>126.0</v>
      </c>
      <c r="C19" s="5">
        <v>83.0</v>
      </c>
      <c r="D19" s="5">
        <v>0.0</v>
      </c>
      <c r="E19" s="6">
        <f t="shared" ref="E19:E21" si="3">(B19+C19)-D19</f>
        <v>209</v>
      </c>
    </row>
    <row r="20">
      <c r="A20" s="4" t="s">
        <v>7</v>
      </c>
      <c r="B20" s="5">
        <v>224.0</v>
      </c>
      <c r="C20" s="5">
        <v>16.0</v>
      </c>
      <c r="D20" s="5">
        <v>11.0</v>
      </c>
      <c r="E20" s="6">
        <f t="shared" si="3"/>
        <v>229</v>
      </c>
    </row>
    <row r="21">
      <c r="A21" s="4" t="s">
        <v>8</v>
      </c>
      <c r="B21" s="5">
        <v>150.0</v>
      </c>
      <c r="C21" s="5">
        <v>81.0</v>
      </c>
      <c r="D21" s="5">
        <v>0.0</v>
      </c>
      <c r="E21" s="6">
        <f t="shared" si="3"/>
        <v>231</v>
      </c>
    </row>
    <row r="22">
      <c r="D22" s="7" t="s">
        <v>9</v>
      </c>
      <c r="E22" s="8">
        <f>SUM(E19:E21)</f>
        <v>669</v>
      </c>
    </row>
    <row r="25">
      <c r="A25" s="1" t="s">
        <v>12</v>
      </c>
    </row>
    <row r="26">
      <c r="A26" s="2" t="s">
        <v>1</v>
      </c>
      <c r="B26" s="3" t="s">
        <v>2</v>
      </c>
      <c r="C26" s="2" t="s">
        <v>3</v>
      </c>
      <c r="D26" s="3" t="s">
        <v>4</v>
      </c>
      <c r="E26" s="3" t="s">
        <v>5</v>
      </c>
    </row>
    <row r="27">
      <c r="A27" s="4" t="s">
        <v>6</v>
      </c>
      <c r="B27" s="5">
        <v>126.0</v>
      </c>
      <c r="C27" s="5">
        <v>80.0</v>
      </c>
      <c r="D27" s="5">
        <v>5.0</v>
      </c>
      <c r="E27" s="6">
        <f t="shared" ref="E27:E29" si="4">(B27+C27)-D27</f>
        <v>201</v>
      </c>
    </row>
    <row r="28">
      <c r="A28" s="4" t="s">
        <v>7</v>
      </c>
      <c r="B28" s="5">
        <v>224.0</v>
      </c>
      <c r="C28" s="5"/>
      <c r="D28" s="5">
        <v>17.0</v>
      </c>
      <c r="E28" s="6">
        <f t="shared" si="4"/>
        <v>207</v>
      </c>
    </row>
    <row r="29">
      <c r="A29" s="4" t="s">
        <v>8</v>
      </c>
      <c r="B29" s="5">
        <v>150.0</v>
      </c>
      <c r="C29" s="5">
        <v>82.0</v>
      </c>
      <c r="D29" s="5">
        <v>0.0</v>
      </c>
      <c r="E29" s="6">
        <f t="shared" si="4"/>
        <v>232</v>
      </c>
    </row>
    <row r="30">
      <c r="D30" s="7" t="s">
        <v>9</v>
      </c>
      <c r="E30" s="8">
        <f>SUM(E27:E29)</f>
        <v>640</v>
      </c>
    </row>
    <row r="33">
      <c r="A33" s="1" t="s">
        <v>13</v>
      </c>
    </row>
    <row r="34">
      <c r="A34" s="2" t="s">
        <v>1</v>
      </c>
      <c r="B34" s="3" t="s">
        <v>2</v>
      </c>
      <c r="C34" s="2" t="s">
        <v>3</v>
      </c>
      <c r="D34" s="3" t="s">
        <v>4</v>
      </c>
      <c r="E34" s="3" t="s">
        <v>5</v>
      </c>
    </row>
    <row r="35">
      <c r="A35" s="4" t="s">
        <v>6</v>
      </c>
      <c r="B35" s="5">
        <v>126.0</v>
      </c>
      <c r="C35" s="5"/>
      <c r="D35" s="5">
        <v>34.0</v>
      </c>
      <c r="E35" s="6">
        <f t="shared" ref="E35:E36" si="5">B35-D35</f>
        <v>92</v>
      </c>
    </row>
    <row r="36">
      <c r="A36" s="4" t="s">
        <v>7</v>
      </c>
      <c r="B36" s="5">
        <v>224.0</v>
      </c>
      <c r="C36" s="5"/>
      <c r="D36" s="5">
        <v>52.0</v>
      </c>
      <c r="E36" s="6">
        <f t="shared" si="5"/>
        <v>172</v>
      </c>
    </row>
    <row r="37">
      <c r="A37" s="4" t="s">
        <v>8</v>
      </c>
      <c r="B37" s="5">
        <v>150.0</v>
      </c>
      <c r="C37" s="5"/>
      <c r="D37" s="5">
        <v>26.0</v>
      </c>
      <c r="E37" s="6">
        <f>B37-D37+C37</f>
        <v>124</v>
      </c>
    </row>
    <row r="38">
      <c r="D38" s="7" t="s">
        <v>9</v>
      </c>
      <c r="E38" s="8">
        <f>SUM(E35:E37)</f>
        <v>388</v>
      </c>
    </row>
    <row r="41">
      <c r="D41" s="9" t="s">
        <v>14</v>
      </c>
      <c r="E41" s="10">
        <f>SUM(E38+E30+E22+E14+E6)</f>
        <v>3246</v>
      </c>
    </row>
  </sheetData>
  <mergeCells count="5">
    <mergeCell ref="A1:E1"/>
    <mergeCell ref="A9:E9"/>
    <mergeCell ref="A17:E17"/>
    <mergeCell ref="A25:E25"/>
    <mergeCell ref="A33:E33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3" t="s">
        <v>4</v>
      </c>
      <c r="D2" s="3" t="s">
        <v>5</v>
      </c>
    </row>
    <row r="3">
      <c r="A3" s="4" t="s">
        <v>6</v>
      </c>
      <c r="B3" s="5">
        <v>154.0</v>
      </c>
      <c r="C3" s="5"/>
      <c r="D3" s="6">
        <f t="shared" ref="D3:D5" si="1">B3-C3</f>
        <v>154</v>
      </c>
    </row>
    <row r="4">
      <c r="A4" s="4" t="s">
        <v>7</v>
      </c>
      <c r="B4" s="5">
        <v>204.0</v>
      </c>
      <c r="C4" s="5"/>
      <c r="D4" s="6">
        <f t="shared" si="1"/>
        <v>204</v>
      </c>
    </row>
    <row r="5">
      <c r="A5" s="4" t="s">
        <v>8</v>
      </c>
      <c r="B5" s="5">
        <v>157.0</v>
      </c>
      <c r="C5" s="5"/>
      <c r="D5" s="6">
        <f t="shared" si="1"/>
        <v>157</v>
      </c>
    </row>
    <row r="6">
      <c r="C6" s="7" t="s">
        <v>9</v>
      </c>
      <c r="D6" s="8">
        <f>SUM(D3:D5)</f>
        <v>515</v>
      </c>
    </row>
    <row r="10">
      <c r="A10" s="1" t="s">
        <v>10</v>
      </c>
    </row>
    <row r="11">
      <c r="A11" s="2" t="s">
        <v>1</v>
      </c>
      <c r="B11" s="3" t="s">
        <v>2</v>
      </c>
      <c r="C11" s="3" t="s">
        <v>4</v>
      </c>
      <c r="D11" s="3" t="s">
        <v>5</v>
      </c>
    </row>
    <row r="12">
      <c r="A12" s="4" t="s">
        <v>6</v>
      </c>
      <c r="B12" s="5">
        <v>247.0</v>
      </c>
      <c r="C12" s="5"/>
      <c r="D12" s="6">
        <f t="shared" ref="D12:D14" si="2">B12-C12</f>
        <v>247</v>
      </c>
    </row>
    <row r="13">
      <c r="A13" s="4" t="s">
        <v>7</v>
      </c>
      <c r="B13" s="5">
        <v>241.0</v>
      </c>
      <c r="C13" s="5"/>
      <c r="D13" s="6">
        <f t="shared" si="2"/>
        <v>241</v>
      </c>
    </row>
    <row r="14">
      <c r="A14" s="4" t="s">
        <v>8</v>
      </c>
      <c r="B14" s="5">
        <v>221.0</v>
      </c>
      <c r="C14" s="5"/>
      <c r="D14" s="6">
        <f t="shared" si="2"/>
        <v>221</v>
      </c>
    </row>
    <row r="15">
      <c r="C15" s="7" t="s">
        <v>9</v>
      </c>
      <c r="D15" s="8">
        <f>SUM(D12:D14)</f>
        <v>709</v>
      </c>
    </row>
    <row r="19">
      <c r="A19" s="1" t="s">
        <v>11</v>
      </c>
    </row>
    <row r="20">
      <c r="A20" s="2" t="s">
        <v>1</v>
      </c>
      <c r="B20" s="3" t="s">
        <v>2</v>
      </c>
      <c r="C20" s="3" t="s">
        <v>4</v>
      </c>
      <c r="D20" s="3" t="s">
        <v>5</v>
      </c>
    </row>
    <row r="21">
      <c r="A21" s="4" t="s">
        <v>6</v>
      </c>
      <c r="B21" s="5">
        <v>261.0</v>
      </c>
      <c r="C21" s="5"/>
      <c r="D21" s="6">
        <f t="shared" ref="D21:D23" si="3">B21-C21</f>
        <v>261</v>
      </c>
    </row>
    <row r="22">
      <c r="A22" s="4" t="s">
        <v>7</v>
      </c>
      <c r="B22" s="5">
        <v>243.0</v>
      </c>
      <c r="C22" s="5"/>
      <c r="D22" s="6">
        <f t="shared" si="3"/>
        <v>243</v>
      </c>
    </row>
    <row r="23">
      <c r="A23" s="4" t="s">
        <v>8</v>
      </c>
      <c r="B23" s="5">
        <v>245.0</v>
      </c>
      <c r="C23" s="5"/>
      <c r="D23" s="6">
        <f t="shared" si="3"/>
        <v>245</v>
      </c>
    </row>
    <row r="24">
      <c r="C24" s="7" t="s">
        <v>9</v>
      </c>
      <c r="D24" s="8">
        <f>SUM(D21:D23)</f>
        <v>749</v>
      </c>
    </row>
    <row r="29">
      <c r="A29" s="1" t="s">
        <v>12</v>
      </c>
    </row>
    <row r="30">
      <c r="A30" s="2" t="s">
        <v>1</v>
      </c>
      <c r="B30" s="3" t="s">
        <v>2</v>
      </c>
      <c r="C30" s="3" t="s">
        <v>4</v>
      </c>
      <c r="D30" s="3" t="s">
        <v>5</v>
      </c>
    </row>
    <row r="31">
      <c r="A31" s="4" t="s">
        <v>6</v>
      </c>
      <c r="B31" s="5">
        <v>245.0</v>
      </c>
      <c r="C31" s="5"/>
      <c r="D31" s="6">
        <f t="shared" ref="D31:D33" si="4">B31-C31</f>
        <v>245</v>
      </c>
    </row>
    <row r="32">
      <c r="A32" s="4" t="s">
        <v>7</v>
      </c>
      <c r="B32" s="5">
        <v>226.0</v>
      </c>
      <c r="C32" s="5"/>
      <c r="D32" s="6">
        <f t="shared" si="4"/>
        <v>226</v>
      </c>
    </row>
    <row r="33">
      <c r="A33" s="4" t="s">
        <v>8</v>
      </c>
      <c r="B33" s="5">
        <v>239.0</v>
      </c>
      <c r="C33" s="5"/>
      <c r="D33" s="6">
        <f t="shared" si="4"/>
        <v>239</v>
      </c>
    </row>
    <row r="34">
      <c r="C34" s="7" t="s">
        <v>9</v>
      </c>
      <c r="D34" s="8">
        <f>SUM(D31:D33)</f>
        <v>710</v>
      </c>
    </row>
    <row r="38">
      <c r="A38" s="1" t="s">
        <v>13</v>
      </c>
    </row>
    <row r="39">
      <c r="A39" s="2" t="s">
        <v>1</v>
      </c>
      <c r="B39" s="3" t="s">
        <v>2</v>
      </c>
      <c r="C39" s="3" t="s">
        <v>4</v>
      </c>
      <c r="D39" s="3" t="s">
        <v>5</v>
      </c>
    </row>
    <row r="40">
      <c r="A40" s="4" t="s">
        <v>6</v>
      </c>
      <c r="B40" s="5">
        <v>100.0</v>
      </c>
      <c r="C40" s="5">
        <v>6.0</v>
      </c>
      <c r="D40" s="6">
        <f t="shared" ref="D40:D42" si="5">B40-C40</f>
        <v>94</v>
      </c>
    </row>
    <row r="41">
      <c r="A41" s="4" t="s">
        <v>7</v>
      </c>
      <c r="B41" s="5">
        <v>300.0</v>
      </c>
      <c r="C41" s="5">
        <v>6.0</v>
      </c>
      <c r="D41" s="6">
        <f t="shared" si="5"/>
        <v>294</v>
      </c>
    </row>
    <row r="42">
      <c r="A42" s="4" t="s">
        <v>8</v>
      </c>
      <c r="B42" s="5">
        <v>100.0</v>
      </c>
      <c r="C42" s="5">
        <v>8.0</v>
      </c>
      <c r="D42" s="6">
        <f t="shared" si="5"/>
        <v>92</v>
      </c>
    </row>
    <row r="43">
      <c r="C43" s="7" t="s">
        <v>9</v>
      </c>
      <c r="D43" s="8">
        <f>SUM(D40:D42)</f>
        <v>480</v>
      </c>
    </row>
    <row r="46">
      <c r="C46" s="11" t="s">
        <v>14</v>
      </c>
      <c r="D46" s="12">
        <f>SUM(D43+D34+D24+D15+D6)</f>
        <v>3163</v>
      </c>
    </row>
  </sheetData>
  <mergeCells count="5">
    <mergeCell ref="A1:D1"/>
    <mergeCell ref="A10:D10"/>
    <mergeCell ref="A19:D19"/>
    <mergeCell ref="A29:D29"/>
    <mergeCell ref="A38:D38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11.0</v>
      </c>
      <c r="E2" s="6">
        <f t="shared" ref="E2:E5" si="1">C2-D2</f>
        <v>97</v>
      </c>
    </row>
    <row r="3">
      <c r="A3" s="16"/>
      <c r="B3" s="15" t="s">
        <v>17</v>
      </c>
      <c r="C3" s="6">
        <v>104.0</v>
      </c>
      <c r="D3" s="5">
        <v>14.0</v>
      </c>
      <c r="E3" s="6">
        <f t="shared" si="1"/>
        <v>90</v>
      </c>
    </row>
    <row r="4">
      <c r="A4" s="16"/>
      <c r="B4" s="15" t="s">
        <v>18</v>
      </c>
      <c r="C4" s="6">
        <v>306.0</v>
      </c>
      <c r="D4" s="5">
        <v>36.0</v>
      </c>
      <c r="E4" s="6">
        <f t="shared" si="1"/>
        <v>270</v>
      </c>
    </row>
    <row r="5">
      <c r="A5" s="16"/>
      <c r="B5" s="15" t="s">
        <v>19</v>
      </c>
      <c r="C5" s="6">
        <v>35.0</v>
      </c>
      <c r="D5" s="5">
        <v>8.0</v>
      </c>
      <c r="E5" s="6">
        <f t="shared" si="1"/>
        <v>27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484</v>
      </c>
    </row>
    <row r="8">
      <c r="A8" s="14" t="s">
        <v>21</v>
      </c>
      <c r="B8" s="15" t="s">
        <v>22</v>
      </c>
      <c r="C8" s="5">
        <v>35.0</v>
      </c>
      <c r="D8" s="5">
        <v>25.0</v>
      </c>
      <c r="E8" s="6">
        <f t="shared" ref="E8:E9" si="2">C8-D8</f>
        <v>10</v>
      </c>
    </row>
    <row r="9">
      <c r="A9" s="16"/>
      <c r="B9" s="15" t="s">
        <v>23</v>
      </c>
      <c r="C9" s="5">
        <f>25</f>
        <v>25</v>
      </c>
      <c r="D9" s="5">
        <v>19.0</v>
      </c>
      <c r="E9" s="6">
        <f t="shared" si="2"/>
        <v>6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18.0</v>
      </c>
      <c r="E11" s="6">
        <f t="shared" ref="E11:E12" si="3">C11-D11</f>
        <v>7</v>
      </c>
    </row>
    <row r="12">
      <c r="A12" s="16"/>
      <c r="B12" s="15" t="s">
        <v>25</v>
      </c>
      <c r="C12" s="5">
        <v>35.0</v>
      </c>
      <c r="D12" s="5">
        <v>29.0</v>
      </c>
      <c r="E12" s="6">
        <f t="shared" si="3"/>
        <v>6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37</v>
      </c>
    </row>
    <row r="15">
      <c r="A15" s="14" t="s">
        <v>27</v>
      </c>
      <c r="B15" s="15" t="s">
        <v>28</v>
      </c>
      <c r="C15" s="6">
        <v>236.0</v>
      </c>
      <c r="D15" s="5">
        <v>121.0</v>
      </c>
      <c r="E15" s="5">
        <f t="shared" ref="E15:E18" si="4">C15-D15</f>
        <v>115</v>
      </c>
    </row>
    <row r="16">
      <c r="A16" s="16"/>
      <c r="B16" s="15" t="s">
        <v>29</v>
      </c>
      <c r="C16" s="5"/>
      <c r="D16" s="5"/>
      <c r="E16" s="5">
        <f t="shared" si="4"/>
        <v>0</v>
      </c>
    </row>
    <row r="17">
      <c r="A17" s="16"/>
      <c r="B17" s="4" t="s">
        <v>30</v>
      </c>
      <c r="C17" s="6">
        <v>138.0</v>
      </c>
      <c r="D17" s="5">
        <v>138.0</v>
      </c>
      <c r="E17" s="5">
        <f t="shared" si="4"/>
        <v>0</v>
      </c>
    </row>
    <row r="18">
      <c r="A18" s="16"/>
      <c r="B18" s="24" t="s">
        <v>31</v>
      </c>
      <c r="C18" s="25"/>
      <c r="D18" s="26">
        <v>0.0</v>
      </c>
      <c r="E18" s="5">
        <f t="shared" si="4"/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115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12.0</v>
      </c>
      <c r="E21" s="6">
        <f t="shared" ref="E21:E24" si="5">C21-D21</f>
        <v>4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5"/>
        <v>0</v>
      </c>
      <c r="F22" s="12"/>
    </row>
    <row r="23">
      <c r="A23" s="16"/>
      <c r="B23" s="28" t="s">
        <v>36</v>
      </c>
      <c r="C23" s="5">
        <v>24.0</v>
      </c>
      <c r="D23" s="5">
        <v>12.0</v>
      </c>
      <c r="E23" s="6">
        <f t="shared" si="5"/>
        <v>12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 t="shared" si="5"/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16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17.0</v>
      </c>
      <c r="D34" s="5"/>
      <c r="E34" s="6">
        <f>C34-D42</f>
        <v>17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17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669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12.0</v>
      </c>
      <c r="E2" s="6">
        <f t="shared" ref="E2:E6" si="1">C2-D2</f>
        <v>96</v>
      </c>
    </row>
    <row r="3">
      <c r="A3" s="16"/>
      <c r="B3" s="15" t="s">
        <v>17</v>
      </c>
      <c r="C3" s="6">
        <v>104.0</v>
      </c>
      <c r="D3" s="5">
        <v>9.0</v>
      </c>
      <c r="E3" s="6">
        <f t="shared" si="1"/>
        <v>95</v>
      </c>
    </row>
    <row r="4">
      <c r="A4" s="16"/>
      <c r="B4" s="15" t="s">
        <v>18</v>
      </c>
      <c r="C4" s="6">
        <v>306.0</v>
      </c>
      <c r="D4" s="5">
        <v>51.0</v>
      </c>
      <c r="E4" s="6">
        <f t="shared" si="1"/>
        <v>255</v>
      </c>
    </row>
    <row r="5">
      <c r="A5" s="16"/>
      <c r="B5" s="15" t="s">
        <v>19</v>
      </c>
      <c r="C5" s="6">
        <v>35.0</v>
      </c>
      <c r="D5" s="5">
        <v>5.0</v>
      </c>
      <c r="E5" s="6">
        <f t="shared" si="1"/>
        <v>30</v>
      </c>
    </row>
    <row r="6">
      <c r="A6" s="16"/>
      <c r="B6" s="15" t="s">
        <v>43</v>
      </c>
      <c r="C6" s="17"/>
      <c r="D6" s="5"/>
      <c r="E6" s="6">
        <f t="shared" si="1"/>
        <v>0</v>
      </c>
    </row>
    <row r="7">
      <c r="A7" s="18"/>
      <c r="B7" s="19" t="s">
        <v>20</v>
      </c>
      <c r="C7" s="20"/>
      <c r="D7" s="21"/>
      <c r="E7" s="22">
        <f>SUM(E2:E6)</f>
        <v>476</v>
      </c>
    </row>
    <row r="8">
      <c r="A8" s="14" t="s">
        <v>21</v>
      </c>
      <c r="B8" s="15" t="s">
        <v>22</v>
      </c>
      <c r="C8" s="5">
        <v>35.0</v>
      </c>
      <c r="D8" s="5">
        <v>19.0</v>
      </c>
      <c r="E8" s="6">
        <f t="shared" ref="E8:E9" si="2">C8-D8</f>
        <v>16</v>
      </c>
    </row>
    <row r="9">
      <c r="A9" s="16"/>
      <c r="B9" s="15" t="s">
        <v>23</v>
      </c>
      <c r="C9" s="5">
        <f>25</f>
        <v>25</v>
      </c>
      <c r="D9" s="5">
        <v>4.0</v>
      </c>
      <c r="E9" s="6">
        <f t="shared" si="2"/>
        <v>21</v>
      </c>
    </row>
    <row r="10">
      <c r="A10" s="16"/>
      <c r="B10" s="4" t="s">
        <v>44</v>
      </c>
      <c r="C10" s="5">
        <v>8.0</v>
      </c>
      <c r="D10" s="5">
        <v>8.0</v>
      </c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7.0</v>
      </c>
      <c r="E11" s="6">
        <f t="shared" ref="E11:E12" si="3">C11-D11</f>
        <v>18</v>
      </c>
    </row>
    <row r="12">
      <c r="A12" s="16"/>
      <c r="B12" s="15" t="s">
        <v>25</v>
      </c>
      <c r="C12" s="5">
        <v>35.0</v>
      </c>
      <c r="D12" s="5">
        <v>9.0</v>
      </c>
      <c r="E12" s="6">
        <f t="shared" si="3"/>
        <v>26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89</v>
      </c>
    </row>
    <row r="15">
      <c r="A15" s="14" t="s">
        <v>27</v>
      </c>
      <c r="B15" s="15" t="s">
        <v>28</v>
      </c>
      <c r="C15" s="6">
        <v>236.0</v>
      </c>
      <c r="D15" s="5">
        <v>48.0</v>
      </c>
      <c r="E15" s="5">
        <v>196.0</v>
      </c>
    </row>
    <row r="16">
      <c r="A16" s="16"/>
      <c r="B16" s="15" t="s">
        <v>29</v>
      </c>
      <c r="C16" s="5">
        <v>29.0</v>
      </c>
      <c r="D16" s="5">
        <v>29.0</v>
      </c>
      <c r="E16" s="6">
        <f>C16-D16</f>
        <v>0</v>
      </c>
    </row>
    <row r="17">
      <c r="A17" s="16"/>
      <c r="B17" s="4" t="s">
        <v>30</v>
      </c>
      <c r="C17" s="6">
        <v>138.0</v>
      </c>
      <c r="D17" s="5">
        <v>16.0</v>
      </c>
      <c r="E17" s="5">
        <v>118.0</v>
      </c>
    </row>
    <row r="18">
      <c r="A18" s="16"/>
      <c r="B18" s="24" t="s">
        <v>31</v>
      </c>
      <c r="C18" s="25"/>
      <c r="D18" s="26">
        <v>0.0</v>
      </c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314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12.0</v>
      </c>
      <c r="E21" s="6">
        <f t="shared" ref="E21:E23" si="4">C21-D21</f>
        <v>4</v>
      </c>
      <c r="F21" s="12"/>
    </row>
    <row r="22">
      <c r="A22" s="16"/>
      <c r="B22" s="28" t="s">
        <v>35</v>
      </c>
      <c r="C22" s="5">
        <v>24.0</v>
      </c>
      <c r="D22" s="5">
        <v>16.0</v>
      </c>
      <c r="E22" s="6">
        <f t="shared" si="4"/>
        <v>8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21.0</v>
      </c>
      <c r="E24" s="5">
        <v>5.0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17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23.0</v>
      </c>
      <c r="D34" s="5">
        <v>23.0</v>
      </c>
      <c r="E34" s="6">
        <f>C34-D42</f>
        <v>23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23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919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0.0</v>
      </c>
      <c r="E2" s="6">
        <f t="shared" ref="E2:E6" si="1">C2-D2</f>
        <v>108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28.0</v>
      </c>
      <c r="E4" s="6">
        <f t="shared" si="1"/>
        <v>278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>
        <f t="shared" si="1"/>
        <v>0</v>
      </c>
    </row>
    <row r="7">
      <c r="A7" s="18"/>
      <c r="B7" s="19" t="s">
        <v>20</v>
      </c>
      <c r="C7" s="20"/>
      <c r="D7" s="21"/>
      <c r="E7" s="22">
        <f>SUM(E2:E6)</f>
        <v>519</v>
      </c>
    </row>
    <row r="8">
      <c r="A8" s="14" t="s">
        <v>21</v>
      </c>
      <c r="B8" s="15" t="s">
        <v>22</v>
      </c>
      <c r="C8" s="5">
        <v>35.0</v>
      </c>
      <c r="D8" s="5">
        <v>19.0</v>
      </c>
      <c r="E8" s="6">
        <f t="shared" ref="E8:E13" si="2">C8-D8</f>
        <v>16</v>
      </c>
    </row>
    <row r="9">
      <c r="A9" s="16"/>
      <c r="B9" s="15" t="s">
        <v>23</v>
      </c>
      <c r="C9" s="5">
        <f>25</f>
        <v>25</v>
      </c>
      <c r="D9" s="5">
        <v>5.0</v>
      </c>
      <c r="E9" s="6">
        <f t="shared" si="2"/>
        <v>20</v>
      </c>
    </row>
    <row r="10">
      <c r="A10" s="16"/>
      <c r="B10" s="4" t="s">
        <v>44</v>
      </c>
      <c r="C10" s="5">
        <v>8.0</v>
      </c>
      <c r="D10" s="5"/>
      <c r="E10" s="6">
        <f t="shared" si="2"/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14.0</v>
      </c>
      <c r="E11" s="6">
        <f t="shared" si="2"/>
        <v>11</v>
      </c>
    </row>
    <row r="12">
      <c r="A12" s="16"/>
      <c r="B12" s="15" t="s">
        <v>25</v>
      </c>
      <c r="C12" s="5">
        <v>35.0</v>
      </c>
      <c r="D12" s="5">
        <v>18.0</v>
      </c>
      <c r="E12" s="6">
        <f t="shared" si="2"/>
        <v>17</v>
      </c>
    </row>
    <row r="13">
      <c r="A13" s="16"/>
      <c r="B13" s="15" t="s">
        <v>43</v>
      </c>
      <c r="C13" s="17"/>
      <c r="D13" s="5"/>
      <c r="E13" s="6">
        <f t="shared" si="2"/>
        <v>0</v>
      </c>
    </row>
    <row r="14">
      <c r="A14" s="18"/>
      <c r="B14" s="23" t="s">
        <v>26</v>
      </c>
      <c r="C14" s="20"/>
      <c r="D14" s="21"/>
      <c r="E14" s="22">
        <f>SUM(E8:E13)</f>
        <v>72</v>
      </c>
    </row>
    <row r="15">
      <c r="A15" s="14" t="s">
        <v>27</v>
      </c>
      <c r="B15" s="15" t="s">
        <v>28</v>
      </c>
      <c r="C15" s="6">
        <v>236.0</v>
      </c>
      <c r="D15" s="5">
        <v>45.0</v>
      </c>
      <c r="E15" s="5">
        <f t="shared" ref="E15:E19" si="3">C15-D15</f>
        <v>191</v>
      </c>
    </row>
    <row r="16">
      <c r="A16" s="16"/>
      <c r="B16" s="15" t="s">
        <v>29</v>
      </c>
      <c r="C16" s="5">
        <v>29.0</v>
      </c>
      <c r="D16" s="5">
        <v>29.0</v>
      </c>
      <c r="E16" s="5">
        <f t="shared" si="3"/>
        <v>0</v>
      </c>
    </row>
    <row r="17">
      <c r="A17" s="16"/>
      <c r="B17" s="4" t="s">
        <v>30</v>
      </c>
      <c r="C17" s="6">
        <v>138.0</v>
      </c>
      <c r="D17" s="5">
        <v>25.0</v>
      </c>
      <c r="E17" s="5">
        <f t="shared" si="3"/>
        <v>113</v>
      </c>
    </row>
    <row r="18">
      <c r="A18" s="16"/>
      <c r="B18" s="24" t="s">
        <v>31</v>
      </c>
      <c r="C18" s="25"/>
      <c r="D18" s="5"/>
      <c r="E18" s="5">
        <f t="shared" si="3"/>
        <v>0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3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304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12.0</v>
      </c>
      <c r="E21" s="6">
        <f t="shared" ref="E21:E25" si="4">C21-D21</f>
        <v>4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36</v>
      </c>
      <c r="C23" s="5">
        <v>24.0</v>
      </c>
      <c r="D23" s="5">
        <v>12.0</v>
      </c>
      <c r="E23" s="6">
        <f t="shared" si="4"/>
        <v>12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6">
        <f t="shared" si="4"/>
        <v>0</v>
      </c>
      <c r="F24" s="12"/>
    </row>
    <row r="25">
      <c r="A25" s="16"/>
      <c r="B25" s="28" t="s">
        <v>43</v>
      </c>
      <c r="C25" s="17"/>
      <c r="D25" s="26"/>
      <c r="E25" s="6">
        <f t="shared" si="4"/>
        <v>0</v>
      </c>
      <c r="F25" s="12"/>
    </row>
    <row r="26">
      <c r="A26" s="18"/>
      <c r="B26" s="32" t="s">
        <v>20</v>
      </c>
      <c r="C26" s="33"/>
      <c r="D26" s="34"/>
      <c r="E26" s="35">
        <f>SUM(E21:E25)</f>
        <v>16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31.0</v>
      </c>
      <c r="D34" s="5"/>
      <c r="E34" s="6">
        <f>C34-D42</f>
        <v>31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31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942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6" si="1">C2-D2</f>
        <v>104</v>
      </c>
    </row>
    <row r="3">
      <c r="A3" s="16"/>
      <c r="B3" s="15" t="s">
        <v>17</v>
      </c>
      <c r="C3" s="6">
        <v>104.0</v>
      </c>
      <c r="D3" s="5">
        <v>5.0</v>
      </c>
      <c r="E3" s="6">
        <f t="shared" si="1"/>
        <v>99</v>
      </c>
    </row>
    <row r="4">
      <c r="A4" s="16"/>
      <c r="B4" s="15" t="s">
        <v>18</v>
      </c>
      <c r="C4" s="6">
        <v>306.0</v>
      </c>
      <c r="D4" s="5">
        <v>22.0</v>
      </c>
      <c r="E4" s="6">
        <f t="shared" si="1"/>
        <v>284</v>
      </c>
    </row>
    <row r="5">
      <c r="A5" s="16"/>
      <c r="B5" s="15" t="s">
        <v>19</v>
      </c>
      <c r="C5" s="6">
        <v>35.0</v>
      </c>
      <c r="D5" s="5">
        <v>0.0</v>
      </c>
      <c r="E5" s="6">
        <f t="shared" si="1"/>
        <v>35</v>
      </c>
    </row>
    <row r="6">
      <c r="A6" s="16"/>
      <c r="B6" s="15" t="s">
        <v>43</v>
      </c>
      <c r="C6" s="17">
        <v>1.0</v>
      </c>
      <c r="D6" s="5"/>
      <c r="E6" s="6">
        <f t="shared" si="1"/>
        <v>1</v>
      </c>
    </row>
    <row r="7">
      <c r="A7" s="18"/>
      <c r="B7" s="19" t="s">
        <v>20</v>
      </c>
      <c r="C7" s="20"/>
      <c r="D7" s="21"/>
      <c r="E7" s="22">
        <f>SUM(E2:E6)</f>
        <v>523</v>
      </c>
    </row>
    <row r="8">
      <c r="A8" s="14" t="s">
        <v>21</v>
      </c>
      <c r="B8" s="15" t="s">
        <v>22</v>
      </c>
      <c r="C8" s="5">
        <v>35.0</v>
      </c>
      <c r="D8" s="5">
        <v>16.0</v>
      </c>
      <c r="E8" s="6">
        <f t="shared" ref="E8:E12" si="2">C8-D8</f>
        <v>19</v>
      </c>
    </row>
    <row r="9">
      <c r="A9" s="16"/>
      <c r="B9" s="15" t="s">
        <v>23</v>
      </c>
      <c r="C9" s="5">
        <f>25</f>
        <v>25</v>
      </c>
      <c r="D9" s="5">
        <v>16.0</v>
      </c>
      <c r="E9" s="6">
        <f t="shared" si="2"/>
        <v>9</v>
      </c>
    </row>
    <row r="10">
      <c r="A10" s="16"/>
      <c r="B10" s="4" t="s">
        <v>44</v>
      </c>
      <c r="C10" s="5">
        <v>8.0</v>
      </c>
      <c r="D10" s="5"/>
      <c r="E10" s="6">
        <f t="shared" si="2"/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16.0</v>
      </c>
      <c r="E11" s="6">
        <f t="shared" si="2"/>
        <v>9</v>
      </c>
    </row>
    <row r="12">
      <c r="A12" s="16"/>
      <c r="B12" s="15" t="s">
        <v>25</v>
      </c>
      <c r="C12" s="5">
        <v>35.0</v>
      </c>
      <c r="D12" s="5">
        <v>16.0</v>
      </c>
      <c r="E12" s="6">
        <f t="shared" si="2"/>
        <v>19</v>
      </c>
    </row>
    <row r="13">
      <c r="A13" s="16"/>
      <c r="B13" s="15" t="s">
        <v>43</v>
      </c>
      <c r="C13" s="17">
        <v>4.0</v>
      </c>
      <c r="D13" s="5"/>
      <c r="E13" s="5">
        <f>C13</f>
        <v>4</v>
      </c>
    </row>
    <row r="14">
      <c r="A14" s="18"/>
      <c r="B14" s="23" t="s">
        <v>26</v>
      </c>
      <c r="C14" s="20"/>
      <c r="D14" s="21"/>
      <c r="E14" s="22">
        <f>SUM(E8:E13)</f>
        <v>68</v>
      </c>
    </row>
    <row r="15">
      <c r="A15" s="14" t="s">
        <v>27</v>
      </c>
      <c r="B15" s="15" t="s">
        <v>28</v>
      </c>
      <c r="C15" s="6">
        <v>236.0</v>
      </c>
      <c r="D15" s="5">
        <v>44.0</v>
      </c>
      <c r="E15" s="5">
        <v>196.0</v>
      </c>
    </row>
    <row r="16">
      <c r="A16" s="16"/>
      <c r="B16" s="15" t="s">
        <v>29</v>
      </c>
      <c r="C16" s="5"/>
      <c r="D16" s="5"/>
      <c r="E16" s="6">
        <f t="shared" ref="E16:E18" si="3">C16-D16</f>
        <v>0</v>
      </c>
    </row>
    <row r="17">
      <c r="A17" s="16"/>
      <c r="B17" s="4" t="s">
        <v>30</v>
      </c>
      <c r="C17" s="6">
        <v>138.0</v>
      </c>
      <c r="D17" s="5">
        <v>20.0</v>
      </c>
      <c r="E17" s="6">
        <f t="shared" si="3"/>
        <v>118</v>
      </c>
    </row>
    <row r="18">
      <c r="A18" s="16"/>
      <c r="B18" s="24" t="s">
        <v>31</v>
      </c>
      <c r="C18" s="25">
        <v>1.0</v>
      </c>
      <c r="D18" s="26"/>
      <c r="E18" s="6">
        <f t="shared" si="3"/>
        <v>1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315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8.0</v>
      </c>
      <c r="E21" s="6">
        <f t="shared" ref="E21:E24" si="4">C21-D21</f>
        <v>8</v>
      </c>
      <c r="F21" s="12"/>
    </row>
    <row r="22">
      <c r="A22" s="16"/>
      <c r="B22" s="28" t="s">
        <v>35</v>
      </c>
      <c r="C22" s="5">
        <v>24.0</v>
      </c>
      <c r="D22" s="5">
        <v>19.0</v>
      </c>
      <c r="E22" s="6">
        <f t="shared" si="4"/>
        <v>5</v>
      </c>
      <c r="F22" s="12"/>
    </row>
    <row r="23">
      <c r="A23" s="16"/>
      <c r="B23" s="28" t="s">
        <v>36</v>
      </c>
      <c r="C23" s="5">
        <v>24.0</v>
      </c>
      <c r="D23" s="5">
        <v>20.0</v>
      </c>
      <c r="E23" s="6">
        <f t="shared" si="4"/>
        <v>4</v>
      </c>
      <c r="F23" s="6"/>
    </row>
    <row r="24">
      <c r="A24" s="16"/>
      <c r="B24" s="28" t="s">
        <v>37</v>
      </c>
      <c r="C24" s="5">
        <v>23.0</v>
      </c>
      <c r="D24" s="5">
        <v>18.0</v>
      </c>
      <c r="E24" s="6">
        <f t="shared" si="4"/>
        <v>5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22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23.0</v>
      </c>
      <c r="D34" s="5"/>
      <c r="E34" s="6">
        <f>C34-D42</f>
        <v>23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23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951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13.0</v>
      </c>
      <c r="E2" s="6">
        <f t="shared" ref="E2:E6" si="1">C2-D2</f>
        <v>95</v>
      </c>
    </row>
    <row r="3">
      <c r="A3" s="16"/>
      <c r="B3" s="15" t="s">
        <v>17</v>
      </c>
      <c r="C3" s="6">
        <v>104.0</v>
      </c>
      <c r="D3" s="5">
        <v>23.0</v>
      </c>
      <c r="E3" s="6">
        <f t="shared" si="1"/>
        <v>81</v>
      </c>
    </row>
    <row r="4">
      <c r="A4" s="16"/>
      <c r="B4" s="15" t="s">
        <v>18</v>
      </c>
      <c r="C4" s="6">
        <v>306.0</v>
      </c>
      <c r="D4" s="5">
        <v>52.0</v>
      </c>
      <c r="E4" s="6">
        <f t="shared" si="1"/>
        <v>254</v>
      </c>
    </row>
    <row r="5">
      <c r="A5" s="16"/>
      <c r="B5" s="15" t="s">
        <v>19</v>
      </c>
      <c r="C5" s="6">
        <v>35.0</v>
      </c>
      <c r="D5" s="5">
        <v>8.0</v>
      </c>
      <c r="E5" s="6">
        <f t="shared" si="1"/>
        <v>27</v>
      </c>
    </row>
    <row r="6">
      <c r="A6" s="16"/>
      <c r="B6" s="15" t="s">
        <v>43</v>
      </c>
      <c r="C6" s="17">
        <v>1.0</v>
      </c>
      <c r="D6" s="5"/>
      <c r="E6" s="6">
        <f t="shared" si="1"/>
        <v>1</v>
      </c>
    </row>
    <row r="7">
      <c r="A7" s="18"/>
      <c r="B7" s="19" t="s">
        <v>20</v>
      </c>
      <c r="C7" s="20"/>
      <c r="D7" s="21"/>
      <c r="E7" s="22">
        <f>SUM(E2:E6)</f>
        <v>458</v>
      </c>
    </row>
    <row r="8">
      <c r="A8" s="14" t="s">
        <v>21</v>
      </c>
      <c r="B8" s="15" t="s">
        <v>22</v>
      </c>
      <c r="C8" s="5">
        <v>35.0</v>
      </c>
      <c r="D8" s="5">
        <v>7.0</v>
      </c>
      <c r="E8" s="6">
        <f t="shared" ref="E8:E13" si="2">C8-D8</f>
        <v>28</v>
      </c>
    </row>
    <row r="9">
      <c r="A9" s="16"/>
      <c r="B9" s="15" t="s">
        <v>23</v>
      </c>
      <c r="C9" s="5">
        <f>25</f>
        <v>25</v>
      </c>
      <c r="D9" s="5">
        <v>5.0</v>
      </c>
      <c r="E9" s="6">
        <f t="shared" si="2"/>
        <v>20</v>
      </c>
    </row>
    <row r="10">
      <c r="A10" s="16"/>
      <c r="B10" s="4" t="s">
        <v>44</v>
      </c>
      <c r="C10" s="5">
        <v>8.0</v>
      </c>
      <c r="D10" s="5"/>
      <c r="E10" s="6">
        <f t="shared" si="2"/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5.0</v>
      </c>
      <c r="E11" s="6">
        <f t="shared" si="2"/>
        <v>20</v>
      </c>
    </row>
    <row r="12">
      <c r="A12" s="16"/>
      <c r="B12" s="15" t="s">
        <v>25</v>
      </c>
      <c r="C12" s="5">
        <v>35.0</v>
      </c>
      <c r="D12" s="5">
        <v>17.0</v>
      </c>
      <c r="E12" s="6">
        <f t="shared" si="2"/>
        <v>18</v>
      </c>
    </row>
    <row r="13">
      <c r="A13" s="16"/>
      <c r="B13" s="15" t="s">
        <v>43</v>
      </c>
      <c r="C13" s="17">
        <v>4.0</v>
      </c>
      <c r="D13" s="5"/>
      <c r="E13" s="6">
        <f t="shared" si="2"/>
        <v>4</v>
      </c>
    </row>
    <row r="14">
      <c r="A14" s="18"/>
      <c r="B14" s="23" t="s">
        <v>26</v>
      </c>
      <c r="C14" s="20"/>
      <c r="D14" s="21"/>
      <c r="E14" s="22">
        <f>SUM(E8:E13)</f>
        <v>98</v>
      </c>
    </row>
    <row r="15">
      <c r="A15" s="14" t="s">
        <v>27</v>
      </c>
      <c r="B15" s="15" t="s">
        <v>28</v>
      </c>
      <c r="C15" s="6">
        <v>236.0</v>
      </c>
      <c r="D15" s="5">
        <v>66.0</v>
      </c>
      <c r="E15" s="5">
        <f t="shared" ref="E15:E19" si="3">C15-D15</f>
        <v>170</v>
      </c>
    </row>
    <row r="16">
      <c r="A16" s="16"/>
      <c r="B16" s="15" t="s">
        <v>29</v>
      </c>
      <c r="C16" s="5"/>
      <c r="D16" s="5"/>
      <c r="E16" s="5">
        <f t="shared" si="3"/>
        <v>0</v>
      </c>
    </row>
    <row r="17">
      <c r="A17" s="16"/>
      <c r="B17" s="4" t="s">
        <v>30</v>
      </c>
      <c r="C17" s="6">
        <v>138.0</v>
      </c>
      <c r="D17" s="5">
        <v>97.0</v>
      </c>
      <c r="E17" s="5">
        <f t="shared" si="3"/>
        <v>41</v>
      </c>
    </row>
    <row r="18">
      <c r="A18" s="16"/>
      <c r="B18" s="24" t="s">
        <v>31</v>
      </c>
      <c r="C18" s="25"/>
      <c r="D18" s="26"/>
      <c r="E18" s="5">
        <f t="shared" si="3"/>
        <v>0</v>
      </c>
      <c r="F18" s="27" t="s">
        <v>46</v>
      </c>
    </row>
    <row r="19">
      <c r="A19" s="16"/>
      <c r="B19" s="28" t="s">
        <v>43</v>
      </c>
      <c r="C19" s="29"/>
      <c r="D19" s="26"/>
      <c r="E19" s="5">
        <f t="shared" si="3"/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211</v>
      </c>
      <c r="F20" s="12"/>
    </row>
    <row r="21">
      <c r="A21" s="30" t="s">
        <v>33</v>
      </c>
      <c r="B21" s="28" t="s">
        <v>34</v>
      </c>
      <c r="C21" s="5">
        <v>16.0</v>
      </c>
      <c r="D21" s="5">
        <v>16.0</v>
      </c>
      <c r="E21" s="6">
        <f t="shared" ref="E21:E23" si="4">C21-D21</f>
        <v>0</v>
      </c>
      <c r="F21" s="12"/>
    </row>
    <row r="22">
      <c r="A22" s="16"/>
      <c r="B22" s="28" t="s">
        <v>35</v>
      </c>
      <c r="C22" s="5">
        <v>24.0</v>
      </c>
      <c r="D22" s="5">
        <v>24.0</v>
      </c>
      <c r="E22" s="6">
        <f t="shared" si="4"/>
        <v>0</v>
      </c>
      <c r="F22" s="12"/>
    </row>
    <row r="23">
      <c r="A23" s="16"/>
      <c r="B23" s="28" t="s">
        <v>36</v>
      </c>
      <c r="C23" s="5">
        <v>24.0</v>
      </c>
      <c r="D23" s="5">
        <v>24.0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f>C23-D23</f>
        <v>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5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5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23.0</v>
      </c>
      <c r="D34" s="5"/>
      <c r="E34" s="6">
        <f>C34-D42</f>
        <v>23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23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790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3" t="s">
        <v>4</v>
      </c>
      <c r="D2" s="3" t="s">
        <v>5</v>
      </c>
    </row>
    <row r="3">
      <c r="A3" s="4" t="s">
        <v>6</v>
      </c>
      <c r="B3" s="5">
        <v>144.0</v>
      </c>
      <c r="C3" s="5"/>
      <c r="D3" s="6">
        <f t="shared" ref="D3:D5" si="1">B3-C3</f>
        <v>144</v>
      </c>
    </row>
    <row r="4">
      <c r="A4" s="4" t="s">
        <v>7</v>
      </c>
      <c r="B4" s="5">
        <v>344.0</v>
      </c>
      <c r="C4" s="5"/>
      <c r="D4" s="6">
        <f t="shared" si="1"/>
        <v>344</v>
      </c>
    </row>
    <row r="5">
      <c r="A5" s="4" t="s">
        <v>8</v>
      </c>
      <c r="B5" s="5">
        <v>144.0</v>
      </c>
      <c r="C5" s="5"/>
      <c r="D5" s="6">
        <f t="shared" si="1"/>
        <v>144</v>
      </c>
    </row>
    <row r="6">
      <c r="C6" s="7" t="s">
        <v>9</v>
      </c>
      <c r="D6" s="8">
        <f>SUM(D3:D5)</f>
        <v>632</v>
      </c>
    </row>
    <row r="10">
      <c r="A10" s="1" t="s">
        <v>10</v>
      </c>
    </row>
    <row r="11">
      <c r="A11" s="2" t="s">
        <v>1</v>
      </c>
      <c r="B11" s="3" t="s">
        <v>2</v>
      </c>
      <c r="C11" s="3" t="s">
        <v>4</v>
      </c>
      <c r="D11" s="3" t="s">
        <v>5</v>
      </c>
    </row>
    <row r="12">
      <c r="A12" s="4" t="s">
        <v>6</v>
      </c>
      <c r="B12" s="5">
        <v>224.0</v>
      </c>
      <c r="C12" s="5"/>
      <c r="D12" s="6">
        <f t="shared" ref="D12:D14" si="2">B12-C12</f>
        <v>224</v>
      </c>
    </row>
    <row r="13">
      <c r="A13" s="4" t="s">
        <v>7</v>
      </c>
      <c r="B13" s="5">
        <v>496.0</v>
      </c>
      <c r="C13" s="5"/>
      <c r="D13" s="6">
        <f t="shared" si="2"/>
        <v>496</v>
      </c>
    </row>
    <row r="14">
      <c r="A14" s="4" t="s">
        <v>8</v>
      </c>
      <c r="B14" s="5">
        <v>224.0</v>
      </c>
      <c r="C14" s="5"/>
      <c r="D14" s="6">
        <f t="shared" si="2"/>
        <v>224</v>
      </c>
    </row>
    <row r="15">
      <c r="C15" s="7" t="s">
        <v>9</v>
      </c>
      <c r="D15" s="8">
        <f>SUM(D12:D14)</f>
        <v>944</v>
      </c>
    </row>
    <row r="19">
      <c r="A19" s="1" t="s">
        <v>11</v>
      </c>
    </row>
    <row r="20">
      <c r="A20" s="2" t="s">
        <v>1</v>
      </c>
      <c r="B20" s="3" t="s">
        <v>2</v>
      </c>
      <c r="C20" s="3" t="s">
        <v>4</v>
      </c>
      <c r="D20" s="3" t="s">
        <v>5</v>
      </c>
    </row>
    <row r="21">
      <c r="A21" s="4" t="s">
        <v>6</v>
      </c>
      <c r="B21" s="5">
        <v>218.0</v>
      </c>
      <c r="C21" s="5">
        <v>25.0</v>
      </c>
      <c r="D21" s="6">
        <f t="shared" ref="D21:D23" si="3">B21-C21</f>
        <v>193</v>
      </c>
    </row>
    <row r="22">
      <c r="A22" s="4" t="s">
        <v>7</v>
      </c>
      <c r="B22" s="6">
        <v>306.0</v>
      </c>
      <c r="C22" s="5">
        <v>47.0</v>
      </c>
      <c r="D22" s="6">
        <f t="shared" si="3"/>
        <v>259</v>
      </c>
    </row>
    <row r="23">
      <c r="A23" s="4" t="s">
        <v>8</v>
      </c>
      <c r="B23" s="5">
        <v>233.0</v>
      </c>
      <c r="C23" s="5">
        <v>44.0</v>
      </c>
      <c r="D23" s="6">
        <f t="shared" si="3"/>
        <v>189</v>
      </c>
    </row>
    <row r="24">
      <c r="C24" s="7" t="s">
        <v>9</v>
      </c>
      <c r="D24" s="8">
        <f>SUM(D21:D23)</f>
        <v>641</v>
      </c>
    </row>
    <row r="29">
      <c r="A29" s="1" t="s">
        <v>12</v>
      </c>
    </row>
    <row r="30">
      <c r="A30" s="2" t="s">
        <v>1</v>
      </c>
      <c r="B30" s="3" t="s">
        <v>2</v>
      </c>
      <c r="C30" s="3" t="s">
        <v>4</v>
      </c>
      <c r="D30" s="3" t="s">
        <v>5</v>
      </c>
    </row>
    <row r="31">
      <c r="A31" s="4" t="s">
        <v>6</v>
      </c>
      <c r="B31" s="5">
        <v>183.0</v>
      </c>
      <c r="C31" s="5"/>
      <c r="D31" s="6">
        <f t="shared" ref="D31:D33" si="4">B31-C31</f>
        <v>183</v>
      </c>
    </row>
    <row r="32">
      <c r="A32" s="4" t="s">
        <v>7</v>
      </c>
      <c r="B32" s="5">
        <v>269.0</v>
      </c>
      <c r="C32" s="5">
        <v>40.0</v>
      </c>
      <c r="D32" s="6">
        <f t="shared" si="4"/>
        <v>229</v>
      </c>
    </row>
    <row r="33">
      <c r="A33" s="4" t="s">
        <v>8</v>
      </c>
      <c r="B33" s="5">
        <v>199.0</v>
      </c>
      <c r="C33" s="5"/>
      <c r="D33" s="6">
        <f t="shared" si="4"/>
        <v>199</v>
      </c>
    </row>
    <row r="34">
      <c r="C34" s="7" t="s">
        <v>9</v>
      </c>
      <c r="D34" s="8">
        <f>SUM(D31:D33)</f>
        <v>611</v>
      </c>
    </row>
    <row r="38">
      <c r="A38" s="1" t="s">
        <v>13</v>
      </c>
    </row>
    <row r="39">
      <c r="A39" s="2" t="s">
        <v>1</v>
      </c>
      <c r="B39" s="3" t="s">
        <v>2</v>
      </c>
      <c r="C39" s="3" t="s">
        <v>4</v>
      </c>
      <c r="D39" s="3" t="s">
        <v>5</v>
      </c>
    </row>
    <row r="40">
      <c r="A40" s="4" t="s">
        <v>6</v>
      </c>
      <c r="B40" s="5">
        <v>100.0</v>
      </c>
      <c r="C40" s="5">
        <v>33.0</v>
      </c>
      <c r="D40" s="6">
        <f t="shared" ref="D40:D42" si="5">B40-C40</f>
        <v>67</v>
      </c>
    </row>
    <row r="41">
      <c r="A41" s="4" t="s">
        <v>7</v>
      </c>
      <c r="B41" s="5">
        <v>300.0</v>
      </c>
      <c r="C41" s="5">
        <v>102.0</v>
      </c>
      <c r="D41" s="6">
        <f t="shared" si="5"/>
        <v>198</v>
      </c>
    </row>
    <row r="42">
      <c r="A42" s="4" t="s">
        <v>8</v>
      </c>
      <c r="B42" s="5">
        <v>100.0</v>
      </c>
      <c r="C42" s="5">
        <v>25.0</v>
      </c>
      <c r="D42" s="6">
        <f t="shared" si="5"/>
        <v>75</v>
      </c>
    </row>
    <row r="43">
      <c r="C43" s="7" t="s">
        <v>9</v>
      </c>
      <c r="D43" s="8">
        <f>SUM(D40:D42)</f>
        <v>340</v>
      </c>
    </row>
    <row r="46">
      <c r="C46" s="11" t="s">
        <v>14</v>
      </c>
      <c r="D46" s="12">
        <f>SUM(D43+D34+D24+D15+D6)</f>
        <v>3168</v>
      </c>
    </row>
  </sheetData>
  <mergeCells count="5">
    <mergeCell ref="A1:D1"/>
    <mergeCell ref="A10:D10"/>
    <mergeCell ref="A19:D19"/>
    <mergeCell ref="A29:D29"/>
    <mergeCell ref="A38:D38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/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>
        <v>19.0</v>
      </c>
      <c r="E3" s="6">
        <f t="shared" si="1"/>
        <v>85</v>
      </c>
    </row>
    <row r="4">
      <c r="A4" s="16"/>
      <c r="B4" s="15" t="s">
        <v>18</v>
      </c>
      <c r="C4" s="6">
        <v>306.0</v>
      </c>
      <c r="D4" s="5">
        <v>78.0</v>
      </c>
      <c r="E4" s="6">
        <f t="shared" si="1"/>
        <v>228</v>
      </c>
    </row>
    <row r="5">
      <c r="A5" s="16"/>
      <c r="B5" s="15" t="s">
        <v>19</v>
      </c>
      <c r="C5" s="6">
        <v>35.0</v>
      </c>
      <c r="D5" s="5">
        <v>18.0</v>
      </c>
      <c r="E5" s="6">
        <f t="shared" si="1"/>
        <v>17</v>
      </c>
    </row>
    <row r="6">
      <c r="A6" s="16"/>
      <c r="B6" s="15" t="s">
        <v>43</v>
      </c>
      <c r="C6" s="17">
        <v>1.0</v>
      </c>
      <c r="D6" s="5"/>
      <c r="E6" s="6">
        <f>C6</f>
        <v>1</v>
      </c>
    </row>
    <row r="7">
      <c r="A7" s="18"/>
      <c r="B7" s="19" t="s">
        <v>20</v>
      </c>
      <c r="C7" s="20"/>
      <c r="D7" s="21"/>
      <c r="E7" s="22">
        <f>SUM(E2:E6)</f>
        <v>439</v>
      </c>
    </row>
    <row r="8">
      <c r="A8" s="14" t="s">
        <v>21</v>
      </c>
      <c r="B8" s="15" t="s">
        <v>22</v>
      </c>
      <c r="C8" s="5">
        <v>35.0</v>
      </c>
      <c r="D8" s="5">
        <v>28.0</v>
      </c>
      <c r="E8" s="6">
        <f t="shared" ref="E8:E9" si="2">C8-D8</f>
        <v>7</v>
      </c>
    </row>
    <row r="9">
      <c r="A9" s="16"/>
      <c r="B9" s="15" t="s">
        <v>23</v>
      </c>
      <c r="C9" s="5">
        <f>25</f>
        <v>25</v>
      </c>
      <c r="D9" s="5">
        <v>17.0</v>
      </c>
      <c r="E9" s="6">
        <f t="shared" si="2"/>
        <v>8</v>
      </c>
    </row>
    <row r="10">
      <c r="A10" s="16"/>
      <c r="B10" s="4" t="s">
        <v>44</v>
      </c>
      <c r="C10" s="5">
        <v>8.0</v>
      </c>
      <c r="D10" s="5"/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14.0</v>
      </c>
      <c r="E11" s="6">
        <f t="shared" ref="E11:E12" si="3">C11-D11</f>
        <v>11</v>
      </c>
    </row>
    <row r="12">
      <c r="A12" s="16"/>
      <c r="B12" s="15" t="s">
        <v>25</v>
      </c>
      <c r="C12" s="5">
        <v>35.0</v>
      </c>
      <c r="D12" s="5">
        <v>9.0</v>
      </c>
      <c r="E12" s="6">
        <f t="shared" si="3"/>
        <v>26</v>
      </c>
    </row>
    <row r="13">
      <c r="A13" s="16"/>
      <c r="B13" s="15" t="s">
        <v>43</v>
      </c>
      <c r="C13" s="17">
        <v>4.0</v>
      </c>
      <c r="D13" s="5"/>
      <c r="E13" s="5">
        <f>C13</f>
        <v>4</v>
      </c>
    </row>
    <row r="14">
      <c r="A14" s="18"/>
      <c r="B14" s="23" t="s">
        <v>26</v>
      </c>
      <c r="C14" s="20"/>
      <c r="D14" s="21"/>
      <c r="E14" s="22">
        <f>SUM(E8:E13)</f>
        <v>64</v>
      </c>
    </row>
    <row r="15">
      <c r="A15" s="14" t="s">
        <v>27</v>
      </c>
      <c r="B15" s="15" t="s">
        <v>28</v>
      </c>
      <c r="C15" s="6">
        <v>236.0</v>
      </c>
      <c r="D15" s="5">
        <v>132.0</v>
      </c>
      <c r="E15" s="6">
        <f t="shared" ref="E15:E17" si="4">C15-D15</f>
        <v>104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115.0</v>
      </c>
      <c r="E17" s="6">
        <f t="shared" si="4"/>
        <v>23</v>
      </c>
    </row>
    <row r="18">
      <c r="A18" s="16"/>
      <c r="B18" s="24" t="s">
        <v>31</v>
      </c>
      <c r="C18" s="25">
        <v>1.0</v>
      </c>
      <c r="D18" s="26"/>
      <c r="E18" s="54">
        <f>C18-D19</f>
        <v>1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128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5">C21-D21</f>
        <v>2</v>
      </c>
      <c r="F21" s="12"/>
    </row>
    <row r="22">
      <c r="A22" s="16"/>
      <c r="B22" s="28" t="s">
        <v>35</v>
      </c>
      <c r="C22" s="5">
        <v>23.0</v>
      </c>
      <c r="D22" s="5">
        <v>23.0</v>
      </c>
      <c r="E22" s="6">
        <f t="shared" si="5"/>
        <v>0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</v>
      </c>
      <c r="F26" s="12"/>
    </row>
    <row r="27">
      <c r="A27" s="30" t="s">
        <v>38</v>
      </c>
      <c r="B27" s="24" t="s">
        <v>47</v>
      </c>
      <c r="C27" s="38"/>
      <c r="D27" s="5"/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40.0</v>
      </c>
      <c r="D28" s="37">
        <v>40.0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23.0</v>
      </c>
      <c r="D34" s="5"/>
      <c r="E34" s="6">
        <f>C34-D42</f>
        <v>23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23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656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1.0</v>
      </c>
      <c r="E2" s="6">
        <f t="shared" ref="E2:E5" si="1">C2-D2</f>
        <v>107</v>
      </c>
    </row>
    <row r="3">
      <c r="A3" s="16"/>
      <c r="B3" s="15" t="s">
        <v>17</v>
      </c>
      <c r="C3" s="6">
        <v>104.0</v>
      </c>
      <c r="D3" s="5">
        <v>5.0</v>
      </c>
      <c r="E3" s="6">
        <f t="shared" si="1"/>
        <v>99</v>
      </c>
    </row>
    <row r="4">
      <c r="A4" s="16"/>
      <c r="B4" s="15" t="s">
        <v>18</v>
      </c>
      <c r="C4" s="6">
        <v>306.0</v>
      </c>
      <c r="D4" s="5">
        <v>15.0</v>
      </c>
      <c r="E4" s="6">
        <f t="shared" si="1"/>
        <v>291</v>
      </c>
    </row>
    <row r="5">
      <c r="A5" s="16"/>
      <c r="B5" s="15" t="s">
        <v>19</v>
      </c>
      <c r="C5" s="6">
        <v>35.0</v>
      </c>
      <c r="D5" s="5">
        <v>0.0</v>
      </c>
      <c r="E5" s="6">
        <f t="shared" si="1"/>
        <v>35</v>
      </c>
    </row>
    <row r="6">
      <c r="A6" s="16"/>
      <c r="B6" s="15" t="s">
        <v>43</v>
      </c>
      <c r="C6" s="17"/>
      <c r="D6" s="5">
        <v>0.0</v>
      </c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532</v>
      </c>
    </row>
    <row r="8">
      <c r="A8" s="14" t="s">
        <v>21</v>
      </c>
      <c r="B8" s="15" t="s">
        <v>22</v>
      </c>
      <c r="C8" s="5">
        <v>35.0</v>
      </c>
      <c r="D8" s="5">
        <v>8.0</v>
      </c>
      <c r="E8" s="6">
        <f t="shared" ref="E8:E9" si="2">C8-D8</f>
        <v>27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4" t="s">
        <v>44</v>
      </c>
      <c r="C10" s="5"/>
      <c r="D10" s="5">
        <v>0.0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6.0</v>
      </c>
      <c r="E11" s="6">
        <f t="shared" ref="E11:E12" si="3">C11-D11</f>
        <v>19</v>
      </c>
    </row>
    <row r="12">
      <c r="A12" s="16"/>
      <c r="B12" s="15" t="s">
        <v>25</v>
      </c>
      <c r="C12" s="5">
        <v>35.0</v>
      </c>
      <c r="D12" s="5">
        <v>5.0</v>
      </c>
      <c r="E12" s="6">
        <f t="shared" si="3"/>
        <v>30</v>
      </c>
    </row>
    <row r="13">
      <c r="A13" s="16"/>
      <c r="B13" s="15" t="s">
        <v>43</v>
      </c>
      <c r="C13" s="17"/>
      <c r="D13" s="5">
        <v>0.0</v>
      </c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100</v>
      </c>
    </row>
    <row r="15">
      <c r="A15" s="14" t="s">
        <v>27</v>
      </c>
      <c r="B15" s="15" t="s">
        <v>28</v>
      </c>
      <c r="C15" s="6">
        <v>236.0</v>
      </c>
      <c r="D15" s="5">
        <v>19.0</v>
      </c>
      <c r="E15" s="6">
        <f t="shared" ref="E15:E17" si="4">C15-D15</f>
        <v>217</v>
      </c>
    </row>
    <row r="16">
      <c r="A16" s="16"/>
      <c r="B16" s="15" t="s">
        <v>29</v>
      </c>
      <c r="C16" s="5"/>
      <c r="D16" s="5">
        <v>18.0</v>
      </c>
      <c r="E16" s="6">
        <f t="shared" si="4"/>
        <v>-18</v>
      </c>
    </row>
    <row r="17">
      <c r="A17" s="16"/>
      <c r="B17" s="4" t="s">
        <v>30</v>
      </c>
      <c r="C17" s="6">
        <v>138.0</v>
      </c>
      <c r="D17" s="5">
        <v>9.0</v>
      </c>
      <c r="E17" s="6">
        <f t="shared" si="4"/>
        <v>129</v>
      </c>
    </row>
    <row r="18">
      <c r="A18" s="16"/>
      <c r="B18" s="24" t="s">
        <v>31</v>
      </c>
      <c r="C18" s="25"/>
      <c r="D18" s="26">
        <v>0.0</v>
      </c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>
        <v>0.0</v>
      </c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328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3.0</v>
      </c>
      <c r="E21" s="6">
        <f t="shared" ref="E21:E24" si="5">C21-D21</f>
        <v>15</v>
      </c>
      <c r="F21" s="12"/>
    </row>
    <row r="22">
      <c r="A22" s="16"/>
      <c r="B22" s="28" t="s">
        <v>35</v>
      </c>
      <c r="C22" s="5">
        <v>23.0</v>
      </c>
      <c r="D22" s="5">
        <v>1.0</v>
      </c>
      <c r="E22" s="6">
        <f t="shared" si="5"/>
        <v>22</v>
      </c>
      <c r="F22" s="12"/>
    </row>
    <row r="23">
      <c r="A23" s="16"/>
      <c r="B23" s="28" t="s">
        <v>36</v>
      </c>
      <c r="C23" s="5">
        <v>18.0</v>
      </c>
      <c r="D23" s="5">
        <v>3.0</v>
      </c>
      <c r="E23" s="6">
        <f t="shared" si="5"/>
        <v>15</v>
      </c>
      <c r="F23" s="12"/>
    </row>
    <row r="24">
      <c r="A24" s="16"/>
      <c r="B24" s="28" t="s">
        <v>37</v>
      </c>
      <c r="C24" s="5">
        <v>23.0</v>
      </c>
      <c r="D24" s="5">
        <v>0.0</v>
      </c>
      <c r="E24" s="6">
        <f t="shared" si="5"/>
        <v>23</v>
      </c>
      <c r="F24" s="12"/>
    </row>
    <row r="25">
      <c r="A25" s="16"/>
      <c r="B25" s="28" t="s">
        <v>43</v>
      </c>
      <c r="C25" s="17"/>
      <c r="D25" s="26">
        <v>0.0</v>
      </c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75</v>
      </c>
      <c r="F26" s="12"/>
    </row>
    <row r="27">
      <c r="A27" s="30" t="s">
        <v>38</v>
      </c>
      <c r="B27" s="24" t="s">
        <v>47</v>
      </c>
      <c r="C27" s="38">
        <v>20.0</v>
      </c>
      <c r="D27" s="5">
        <v>20.0</v>
      </c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50.0</v>
      </c>
      <c r="D28" s="37">
        <v>50.0</v>
      </c>
      <c r="E28" s="38">
        <f t="shared" si="6"/>
        <v>0</v>
      </c>
    </row>
    <row r="29">
      <c r="A29" s="16"/>
      <c r="B29" s="39" t="s">
        <v>48</v>
      </c>
      <c r="C29" s="40"/>
      <c r="D29" s="40">
        <v>0.0</v>
      </c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1059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47.0</v>
      </c>
      <c r="E4" s="6">
        <f t="shared" si="1"/>
        <v>259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>
        <v>0.0</v>
      </c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497</v>
      </c>
    </row>
    <row r="8">
      <c r="A8" s="14" t="s">
        <v>21</v>
      </c>
      <c r="B8" s="15" t="s">
        <v>22</v>
      </c>
      <c r="C8" s="5">
        <v>35.0</v>
      </c>
      <c r="D8" s="5">
        <v>5.0</v>
      </c>
      <c r="E8" s="6">
        <f t="shared" ref="E8:E9" si="2">C8-D8</f>
        <v>30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4" t="s">
        <v>44</v>
      </c>
      <c r="C10" s="5"/>
      <c r="D10" s="5">
        <v>0.0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1.0</v>
      </c>
      <c r="E11" s="6">
        <f t="shared" ref="E11:E12" si="3">C11-D11</f>
        <v>24</v>
      </c>
    </row>
    <row r="12">
      <c r="A12" s="16"/>
      <c r="B12" s="15" t="s">
        <v>25</v>
      </c>
      <c r="C12" s="5">
        <v>35.0</v>
      </c>
      <c r="D12" s="5">
        <v>3.0</v>
      </c>
      <c r="E12" s="6">
        <f t="shared" si="3"/>
        <v>32</v>
      </c>
    </row>
    <row r="13">
      <c r="A13" s="16"/>
      <c r="B13" s="15" t="s">
        <v>43</v>
      </c>
      <c r="C13" s="17"/>
      <c r="D13" s="5">
        <v>0.0</v>
      </c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110</v>
      </c>
    </row>
    <row r="15">
      <c r="A15" s="14" t="s">
        <v>27</v>
      </c>
      <c r="B15" s="15" t="s">
        <v>28</v>
      </c>
      <c r="C15" s="6">
        <v>236.0</v>
      </c>
      <c r="D15" s="5">
        <v>22.0</v>
      </c>
      <c r="E15" s="6">
        <f t="shared" ref="E15:E17" si="4">C15-D15</f>
        <v>214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14.0</v>
      </c>
      <c r="E17" s="6">
        <f t="shared" si="4"/>
        <v>124</v>
      </c>
    </row>
    <row r="18">
      <c r="A18" s="16"/>
      <c r="B18" s="24" t="s">
        <v>31</v>
      </c>
      <c r="C18" s="25"/>
      <c r="D18" s="26">
        <v>17.0</v>
      </c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>
        <v>0.0</v>
      </c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338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9.0</v>
      </c>
      <c r="E21" s="6">
        <f t="shared" ref="E21:E24" si="5">C21-D21</f>
        <v>9</v>
      </c>
      <c r="F21" s="12"/>
    </row>
    <row r="22">
      <c r="A22" s="16"/>
      <c r="B22" s="28" t="s">
        <v>35</v>
      </c>
      <c r="C22" s="5">
        <v>23.0</v>
      </c>
      <c r="D22" s="5">
        <v>6.0</v>
      </c>
      <c r="E22" s="6">
        <f t="shared" si="5"/>
        <v>17</v>
      </c>
      <c r="F22" s="12"/>
    </row>
    <row r="23">
      <c r="A23" s="16"/>
      <c r="B23" s="28" t="s">
        <v>36</v>
      </c>
      <c r="C23" s="5">
        <v>18.0</v>
      </c>
      <c r="D23" s="5">
        <v>6.0</v>
      </c>
      <c r="E23" s="6">
        <f t="shared" si="5"/>
        <v>12</v>
      </c>
      <c r="F23" s="12"/>
    </row>
    <row r="24">
      <c r="A24" s="16"/>
      <c r="B24" s="28" t="s">
        <v>37</v>
      </c>
      <c r="C24" s="5">
        <v>23.0</v>
      </c>
      <c r="D24" s="5">
        <v>16.0</v>
      </c>
      <c r="E24" s="6">
        <f t="shared" si="5"/>
        <v>7</v>
      </c>
      <c r="F24" s="12"/>
    </row>
    <row r="25">
      <c r="A25" s="16"/>
      <c r="B25" s="28" t="s">
        <v>43</v>
      </c>
      <c r="C25" s="17"/>
      <c r="D25" s="26">
        <v>0.0</v>
      </c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45</v>
      </c>
      <c r="F26" s="12"/>
    </row>
    <row r="27">
      <c r="A27" s="30" t="s">
        <v>38</v>
      </c>
      <c r="B27" s="24" t="s">
        <v>47</v>
      </c>
      <c r="C27" s="38">
        <v>20.0</v>
      </c>
      <c r="D27" s="5">
        <v>20.0</v>
      </c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50.0</v>
      </c>
      <c r="D28" s="37">
        <v>50.0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1014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/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/>
      <c r="E3" s="6">
        <f t="shared" si="1"/>
        <v>104</v>
      </c>
    </row>
    <row r="4">
      <c r="A4" s="16"/>
      <c r="B4" s="15" t="s">
        <v>18</v>
      </c>
      <c r="C4" s="6">
        <v>306.0</v>
      </c>
      <c r="D4" s="5">
        <v>57.0</v>
      </c>
      <c r="E4" s="6">
        <f t="shared" si="1"/>
        <v>249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496</v>
      </c>
    </row>
    <row r="8">
      <c r="A8" s="14" t="s">
        <v>21</v>
      </c>
      <c r="B8" s="15" t="s">
        <v>22</v>
      </c>
      <c r="C8" s="5">
        <v>35.0</v>
      </c>
      <c r="D8" s="5">
        <v>13.0</v>
      </c>
      <c r="E8" s="6">
        <f t="shared" ref="E8:E9" si="2">C8-D8</f>
        <v>22</v>
      </c>
    </row>
    <row r="9">
      <c r="A9" s="16"/>
      <c r="B9" s="15" t="s">
        <v>23</v>
      </c>
      <c r="C9" s="5">
        <f>25</f>
        <v>25</v>
      </c>
      <c r="D9" s="5">
        <v>0.0</v>
      </c>
      <c r="E9" s="6">
        <f t="shared" si="2"/>
        <v>25</v>
      </c>
    </row>
    <row r="10">
      <c r="A10" s="16"/>
      <c r="B10" s="4" t="s">
        <v>44</v>
      </c>
      <c r="C10" s="5">
        <v>5.0</v>
      </c>
      <c r="D10" s="5"/>
      <c r="E10" s="54">
        <f>C10</f>
        <v>5</v>
      </c>
      <c r="F10" s="27" t="s">
        <v>45</v>
      </c>
    </row>
    <row r="11">
      <c r="A11" s="16"/>
      <c r="B11" s="15" t="s">
        <v>24</v>
      </c>
      <c r="C11" s="5">
        <v>25.0</v>
      </c>
      <c r="D11" s="5"/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/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112</v>
      </c>
    </row>
    <row r="15">
      <c r="A15" s="14" t="s">
        <v>27</v>
      </c>
      <c r="B15" s="15" t="s">
        <v>28</v>
      </c>
      <c r="C15" s="6">
        <v>236.0</v>
      </c>
      <c r="D15" s="5">
        <v>81.0</v>
      </c>
      <c r="E15" s="6">
        <f t="shared" ref="E15:E17" si="4">C15-D15</f>
        <v>155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103.0</v>
      </c>
      <c r="E17" s="6">
        <f t="shared" si="4"/>
        <v>35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190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17.0</v>
      </c>
      <c r="E21" s="6">
        <f t="shared" ref="E21:E24" si="5">C21-D21</f>
        <v>1</v>
      </c>
      <c r="F21" s="12"/>
    </row>
    <row r="22">
      <c r="A22" s="16"/>
      <c r="B22" s="28" t="s">
        <v>35</v>
      </c>
      <c r="C22" s="5">
        <v>23.0</v>
      </c>
      <c r="D22" s="5">
        <v>15.0</v>
      </c>
      <c r="E22" s="6">
        <f t="shared" si="5"/>
        <v>8</v>
      </c>
      <c r="F22" s="12"/>
    </row>
    <row r="23">
      <c r="A23" s="16"/>
      <c r="B23" s="28" t="s">
        <v>36</v>
      </c>
      <c r="C23" s="5">
        <v>18.0</v>
      </c>
      <c r="D23" s="5">
        <v>13.0</v>
      </c>
      <c r="E23" s="6">
        <f t="shared" si="5"/>
        <v>5</v>
      </c>
      <c r="F23" s="12"/>
    </row>
    <row r="24">
      <c r="A24" s="16"/>
      <c r="B24" s="28" t="s">
        <v>37</v>
      </c>
      <c r="C24" s="5">
        <v>23.0</v>
      </c>
      <c r="D24" s="5">
        <v>19.0</v>
      </c>
      <c r="E24" s="6">
        <f t="shared" si="5"/>
        <v>4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18</v>
      </c>
      <c r="F26" s="12"/>
    </row>
    <row r="27">
      <c r="A27" s="30" t="s">
        <v>38</v>
      </c>
      <c r="B27" s="24" t="s">
        <v>47</v>
      </c>
      <c r="C27" s="38">
        <v>20.0</v>
      </c>
      <c r="D27" s="5">
        <v>20.0</v>
      </c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50.0</v>
      </c>
      <c r="D28" s="37">
        <v>50.0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23.0</v>
      </c>
      <c r="D34" s="5"/>
      <c r="E34" s="6">
        <f>C34-D42</f>
        <v>23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23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839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/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>
        <v>45.0</v>
      </c>
      <c r="E3" s="6">
        <f t="shared" si="1"/>
        <v>59</v>
      </c>
    </row>
    <row r="4">
      <c r="A4" s="16"/>
      <c r="B4" s="15" t="s">
        <v>18</v>
      </c>
      <c r="C4" s="6">
        <v>306.0</v>
      </c>
      <c r="D4" s="5"/>
      <c r="E4" s="6">
        <f t="shared" si="1"/>
        <v>306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508</v>
      </c>
    </row>
    <row r="8">
      <c r="A8" s="14" t="s">
        <v>21</v>
      </c>
      <c r="B8" s="15" t="s">
        <v>22</v>
      </c>
      <c r="C8" s="5">
        <v>35.0</v>
      </c>
      <c r="D8" s="5"/>
      <c r="E8" s="6">
        <f t="shared" ref="E8:E9" si="2">C8-D8</f>
        <v>35</v>
      </c>
    </row>
    <row r="9">
      <c r="A9" s="16"/>
      <c r="B9" s="15" t="s">
        <v>23</v>
      </c>
      <c r="C9" s="5">
        <f>25</f>
        <v>25</v>
      </c>
      <c r="D9" s="5"/>
      <c r="E9" s="6">
        <f t="shared" si="2"/>
        <v>25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15.0</v>
      </c>
      <c r="E11" s="6">
        <f t="shared" ref="E11:E12" si="3">C11-D11</f>
        <v>10</v>
      </c>
    </row>
    <row r="12">
      <c r="A12" s="16"/>
      <c r="B12" s="15" t="s">
        <v>25</v>
      </c>
      <c r="C12" s="5">
        <v>35.0</v>
      </c>
      <c r="D12" s="5"/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105</v>
      </c>
    </row>
    <row r="15">
      <c r="A15" s="14" t="s">
        <v>27</v>
      </c>
      <c r="B15" s="15" t="s">
        <v>28</v>
      </c>
      <c r="C15" s="6">
        <v>236.0</v>
      </c>
      <c r="D15" s="5">
        <v>49.0</v>
      </c>
      <c r="E15" s="6">
        <f t="shared" ref="E15:E17" si="4">C15-D15</f>
        <v>187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28.0</v>
      </c>
      <c r="E17" s="6">
        <f t="shared" si="4"/>
        <v>110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297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12.0</v>
      </c>
      <c r="E21" s="6">
        <f t="shared" ref="E21:E24" si="5">C21-D21</f>
        <v>6</v>
      </c>
      <c r="F21" s="12"/>
    </row>
    <row r="22">
      <c r="A22" s="16"/>
      <c r="B22" s="28" t="s">
        <v>35</v>
      </c>
      <c r="C22" s="5">
        <v>23.0</v>
      </c>
      <c r="D22" s="5">
        <v>10.0</v>
      </c>
      <c r="E22" s="6">
        <f t="shared" si="5"/>
        <v>13</v>
      </c>
      <c r="F22" s="12"/>
    </row>
    <row r="23">
      <c r="A23" s="16"/>
      <c r="B23" s="28" t="s">
        <v>36</v>
      </c>
      <c r="C23" s="5">
        <v>18.0</v>
      </c>
      <c r="D23" s="5">
        <v>7.0</v>
      </c>
      <c r="E23" s="6">
        <f t="shared" si="5"/>
        <v>11</v>
      </c>
      <c r="F23" s="12"/>
    </row>
    <row r="24">
      <c r="A24" s="16"/>
      <c r="B24" s="28" t="s">
        <v>37</v>
      </c>
      <c r="C24" s="5">
        <v>23.0</v>
      </c>
      <c r="D24" s="5">
        <v>12.0</v>
      </c>
      <c r="E24" s="6">
        <f t="shared" si="5"/>
        <v>11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41</v>
      </c>
      <c r="F26" s="12"/>
    </row>
    <row r="27">
      <c r="A27" s="30" t="s">
        <v>38</v>
      </c>
      <c r="B27" s="24" t="s">
        <v>47</v>
      </c>
      <c r="C27" s="38">
        <v>20.0</v>
      </c>
      <c r="D27" s="5">
        <v>20.0</v>
      </c>
      <c r="E27" s="38">
        <f t="shared" ref="E27:E28" si="6">C27-D27</f>
        <v>0</v>
      </c>
      <c r="F27" s="27" t="s">
        <v>46</v>
      </c>
    </row>
    <row r="28">
      <c r="A28" s="16"/>
      <c r="B28" s="36" t="s">
        <v>39</v>
      </c>
      <c r="C28" s="37">
        <v>50.0</v>
      </c>
      <c r="D28" s="37">
        <v>50.0</v>
      </c>
      <c r="E28" s="38">
        <f t="shared" si="6"/>
        <v>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23.0</v>
      </c>
      <c r="D34" s="5"/>
      <c r="E34" s="6">
        <f>C34-D42</f>
        <v>23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23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974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16.0</v>
      </c>
      <c r="E4" s="6">
        <f t="shared" si="1"/>
        <v>290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531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0.0</v>
      </c>
      <c r="E9" s="6">
        <f t="shared" si="2"/>
        <v>25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4.0</v>
      </c>
      <c r="E11" s="6">
        <f t="shared" ref="E11:E12" si="3">C11-D11</f>
        <v>21</v>
      </c>
    </row>
    <row r="12">
      <c r="A12" s="16"/>
      <c r="B12" s="15" t="s">
        <v>25</v>
      </c>
      <c r="C12" s="5">
        <v>35.0</v>
      </c>
      <c r="D12" s="5">
        <v>8.0</v>
      </c>
      <c r="E12" s="6">
        <f t="shared" si="3"/>
        <v>27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106</v>
      </c>
    </row>
    <row r="15">
      <c r="A15" s="14" t="s">
        <v>27</v>
      </c>
      <c r="B15" s="15" t="s">
        <v>28</v>
      </c>
      <c r="C15" s="6">
        <v>236.0</v>
      </c>
      <c r="D15" s="5">
        <v>31.0</v>
      </c>
      <c r="E15" s="6">
        <f t="shared" ref="E15:E17" si="4">C15-D15</f>
        <v>205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59.0</v>
      </c>
      <c r="E17" s="6">
        <f t="shared" si="4"/>
        <v>79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284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5">C21-D21</f>
        <v>2</v>
      </c>
      <c r="F21" s="12"/>
    </row>
    <row r="22">
      <c r="A22" s="16"/>
      <c r="B22" s="28" t="s">
        <v>35</v>
      </c>
      <c r="C22" s="5">
        <v>23.0</v>
      </c>
      <c r="D22" s="5">
        <v>15.0</v>
      </c>
      <c r="E22" s="6">
        <f t="shared" si="5"/>
        <v>8</v>
      </c>
      <c r="F22" s="12"/>
    </row>
    <row r="23">
      <c r="A23" s="16"/>
      <c r="B23" s="28" t="s">
        <v>36</v>
      </c>
      <c r="C23" s="5">
        <v>18.0</v>
      </c>
      <c r="D23" s="5">
        <v>14.0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>
        <v>20.0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14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>C27-D27</f>
        <v>20</v>
      </c>
      <c r="F27" s="27" t="s">
        <v>46</v>
      </c>
    </row>
    <row r="28">
      <c r="A28" s="16"/>
      <c r="B28" s="36" t="s">
        <v>39</v>
      </c>
      <c r="C28" s="37">
        <v>50.0</v>
      </c>
      <c r="D28" s="37"/>
      <c r="E28" s="57">
        <f>C28</f>
        <v>50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70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32.0</v>
      </c>
      <c r="D34" s="5"/>
      <c r="E34" s="6">
        <f>C34-D42</f>
        <v>32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1056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16.0</v>
      </c>
      <c r="E4" s="6">
        <f t="shared" si="1"/>
        <v>290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531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0.0</v>
      </c>
      <c r="E9" s="6">
        <f t="shared" si="2"/>
        <v>25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4.0</v>
      </c>
      <c r="E11" s="6">
        <f t="shared" ref="E11:E12" si="3">C11-D11</f>
        <v>21</v>
      </c>
    </row>
    <row r="12">
      <c r="A12" s="16"/>
      <c r="B12" s="15" t="s">
        <v>25</v>
      </c>
      <c r="C12" s="5">
        <v>35.0</v>
      </c>
      <c r="D12" s="5">
        <v>8.0</v>
      </c>
      <c r="E12" s="6">
        <f t="shared" si="3"/>
        <v>27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106</v>
      </c>
    </row>
    <row r="15">
      <c r="A15" s="14" t="s">
        <v>27</v>
      </c>
      <c r="B15" s="15" t="s">
        <v>28</v>
      </c>
      <c r="C15" s="6">
        <v>236.0</v>
      </c>
      <c r="D15" s="5">
        <v>31.0</v>
      </c>
      <c r="E15" s="6">
        <f t="shared" ref="E15:E17" si="4">C15-D15</f>
        <v>205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59.0</v>
      </c>
      <c r="E17" s="6">
        <f t="shared" si="4"/>
        <v>79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284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5">C21-D21</f>
        <v>2</v>
      </c>
      <c r="F21" s="12"/>
    </row>
    <row r="22">
      <c r="A22" s="16"/>
      <c r="B22" s="28" t="s">
        <v>35</v>
      </c>
      <c r="C22" s="5">
        <v>23.0</v>
      </c>
      <c r="D22" s="5">
        <v>15.0</v>
      </c>
      <c r="E22" s="6">
        <f t="shared" si="5"/>
        <v>8</v>
      </c>
      <c r="F22" s="12"/>
    </row>
    <row r="23">
      <c r="A23" s="16"/>
      <c r="B23" s="28" t="s">
        <v>36</v>
      </c>
      <c r="C23" s="5">
        <v>18.0</v>
      </c>
      <c r="D23" s="5">
        <v>14.0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>
        <v>20.0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14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>C27-D27</f>
        <v>20</v>
      </c>
      <c r="F27" s="27" t="s">
        <v>46</v>
      </c>
    </row>
    <row r="28">
      <c r="A28" s="16"/>
      <c r="B28" s="36" t="s">
        <v>39</v>
      </c>
      <c r="C28" s="37">
        <v>50.0</v>
      </c>
      <c r="D28" s="37"/>
      <c r="E28" s="57">
        <f>C28</f>
        <v>50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70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32.0</v>
      </c>
      <c r="D34" s="5"/>
      <c r="E34" s="6">
        <f>C34-D42</f>
        <v>32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1056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5" si="1">C2-D2</f>
        <v>104</v>
      </c>
    </row>
    <row r="3">
      <c r="A3" s="16"/>
      <c r="B3" s="15" t="s">
        <v>17</v>
      </c>
      <c r="C3" s="6">
        <v>104.0</v>
      </c>
      <c r="D3" s="5">
        <v>0.0</v>
      </c>
      <c r="E3" s="6">
        <f t="shared" si="1"/>
        <v>104</v>
      </c>
    </row>
    <row r="4">
      <c r="A4" s="16"/>
      <c r="B4" s="15" t="s">
        <v>18</v>
      </c>
      <c r="C4" s="6">
        <v>306.0</v>
      </c>
      <c r="D4" s="5">
        <v>25.0</v>
      </c>
      <c r="E4" s="6">
        <f t="shared" si="1"/>
        <v>281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522</v>
      </c>
    </row>
    <row r="8">
      <c r="A8" s="14" t="s">
        <v>21</v>
      </c>
      <c r="B8" s="15" t="s">
        <v>22</v>
      </c>
      <c r="C8" s="5">
        <v>35.0</v>
      </c>
      <c r="D8" s="5">
        <v>3.0</v>
      </c>
      <c r="E8" s="6">
        <f t="shared" ref="E8:E9" si="2">C8-D8</f>
        <v>32</v>
      </c>
    </row>
    <row r="9">
      <c r="A9" s="16"/>
      <c r="B9" s="15" t="s">
        <v>23</v>
      </c>
      <c r="C9" s="5">
        <f>25</f>
        <v>25</v>
      </c>
      <c r="D9" s="5">
        <v>4.0</v>
      </c>
      <c r="E9" s="6">
        <f t="shared" si="2"/>
        <v>21</v>
      </c>
    </row>
    <row r="10">
      <c r="A10" s="16"/>
      <c r="B10" s="4" t="s">
        <v>44</v>
      </c>
      <c r="C10" s="5">
        <v>7.0</v>
      </c>
      <c r="D10" s="5"/>
      <c r="E10" s="54">
        <f>C10</f>
        <v>7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1.0</v>
      </c>
      <c r="E11" s="6">
        <f t="shared" ref="E11:E12" si="3">C11-D11</f>
        <v>24</v>
      </c>
    </row>
    <row r="12">
      <c r="A12" s="16"/>
      <c r="B12" s="15" t="s">
        <v>25</v>
      </c>
      <c r="C12" s="5">
        <v>35.0</v>
      </c>
      <c r="D12" s="5">
        <v>2.0</v>
      </c>
      <c r="E12" s="6">
        <f t="shared" si="3"/>
        <v>33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117</v>
      </c>
    </row>
    <row r="15">
      <c r="A15" s="14" t="s">
        <v>27</v>
      </c>
      <c r="B15" s="15" t="s">
        <v>28</v>
      </c>
      <c r="C15" s="6">
        <v>236.0</v>
      </c>
      <c r="D15" s="5">
        <v>3.0</v>
      </c>
      <c r="E15" s="6">
        <f t="shared" ref="E15:E17" si="4">C15-D15</f>
        <v>233</v>
      </c>
    </row>
    <row r="16">
      <c r="A16" s="16"/>
      <c r="B16" s="15" t="s">
        <v>29</v>
      </c>
      <c r="C16" s="5">
        <v>7.0</v>
      </c>
      <c r="D16" s="5">
        <v>0.0</v>
      </c>
      <c r="E16" s="6">
        <f t="shared" si="4"/>
        <v>7</v>
      </c>
    </row>
    <row r="17">
      <c r="A17" s="16"/>
      <c r="B17" s="4" t="s">
        <v>30</v>
      </c>
      <c r="C17" s="6">
        <v>138.0</v>
      </c>
      <c r="D17" s="5">
        <v>3.0</v>
      </c>
      <c r="E17" s="6">
        <f t="shared" si="4"/>
        <v>135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375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3.0</v>
      </c>
      <c r="E21" s="6">
        <f t="shared" ref="E21:E23" si="5">C21-D21</f>
        <v>15</v>
      </c>
      <c r="F21" s="12"/>
    </row>
    <row r="22">
      <c r="A22" s="16"/>
      <c r="B22" s="28" t="s">
        <v>35</v>
      </c>
      <c r="C22" s="5">
        <v>23.0</v>
      </c>
      <c r="D22" s="5">
        <v>0.0</v>
      </c>
      <c r="E22" s="6">
        <f t="shared" si="5"/>
        <v>23</v>
      </c>
      <c r="F22" s="12"/>
    </row>
    <row r="23">
      <c r="A23" s="16"/>
      <c r="B23" s="28" t="s">
        <v>36</v>
      </c>
      <c r="C23" s="5">
        <v>18.0</v>
      </c>
      <c r="D23" s="5">
        <v>2.0</v>
      </c>
      <c r="E23" s="6">
        <f t="shared" si="5"/>
        <v>16</v>
      </c>
      <c r="F23" s="12"/>
    </row>
    <row r="24">
      <c r="A24" s="16"/>
      <c r="B24" s="28" t="s">
        <v>37</v>
      </c>
      <c r="C24" s="5">
        <v>23.0</v>
      </c>
      <c r="D24" s="5">
        <v>0.0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54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>C27-D27</f>
        <v>20</v>
      </c>
      <c r="F27" s="27" t="s">
        <v>46</v>
      </c>
    </row>
    <row r="28">
      <c r="A28" s="16"/>
      <c r="B28" s="36" t="s">
        <v>39</v>
      </c>
      <c r="C28" s="37">
        <v>50.0</v>
      </c>
      <c r="D28" s="37"/>
      <c r="E28" s="57">
        <f>C28</f>
        <v>50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70</v>
      </c>
    </row>
    <row r="31">
      <c r="A31" s="30" t="s">
        <v>49</v>
      </c>
      <c r="B31" s="4" t="s">
        <v>41</v>
      </c>
      <c r="C31" s="5">
        <v>19.0</v>
      </c>
      <c r="D31" s="5">
        <v>0.0</v>
      </c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32.0</v>
      </c>
      <c r="D34" s="5">
        <v>0.0</v>
      </c>
      <c r="E34" s="6">
        <f>C34-D42</f>
        <v>32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1189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5" si="1">C2-D2</f>
        <v>104</v>
      </c>
    </row>
    <row r="3">
      <c r="A3" s="16"/>
      <c r="B3" s="15" t="s">
        <v>17</v>
      </c>
      <c r="C3" s="6">
        <v>104.0</v>
      </c>
      <c r="D3" s="5">
        <v>7.0</v>
      </c>
      <c r="E3" s="6">
        <f t="shared" si="1"/>
        <v>97</v>
      </c>
    </row>
    <row r="4">
      <c r="A4" s="16"/>
      <c r="B4" s="15" t="s">
        <v>18</v>
      </c>
      <c r="C4" s="6">
        <v>306.0</v>
      </c>
      <c r="D4" s="5">
        <v>3.0</v>
      </c>
      <c r="E4" s="6">
        <f t="shared" si="1"/>
        <v>303</v>
      </c>
    </row>
    <row r="5">
      <c r="A5" s="16"/>
      <c r="B5" s="15" t="s">
        <v>19</v>
      </c>
      <c r="C5" s="6">
        <v>35.0</v>
      </c>
      <c r="D5" s="5">
        <v>8.0</v>
      </c>
      <c r="E5" s="6">
        <f t="shared" si="1"/>
        <v>27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531</v>
      </c>
    </row>
    <row r="8">
      <c r="A8" s="14" t="s">
        <v>21</v>
      </c>
      <c r="B8" s="15" t="s">
        <v>22</v>
      </c>
      <c r="C8" s="5">
        <v>35.0</v>
      </c>
      <c r="D8" s="5">
        <v>13.0</v>
      </c>
      <c r="E8" s="6">
        <f t="shared" ref="E8:E9" si="2">C8-D8</f>
        <v>22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/>
      <c r="D10" s="5">
        <v>2.0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5.0</v>
      </c>
      <c r="E11" s="6">
        <f t="shared" ref="E11:E12" si="3">C11-D11</f>
        <v>20</v>
      </c>
    </row>
    <row r="12">
      <c r="A12" s="16"/>
      <c r="B12" s="15" t="s">
        <v>25</v>
      </c>
      <c r="C12" s="5">
        <v>35.0</v>
      </c>
      <c r="D12" s="5">
        <v>9.0</v>
      </c>
      <c r="E12" s="6">
        <f t="shared" si="3"/>
        <v>26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86</v>
      </c>
    </row>
    <row r="15">
      <c r="A15" s="14" t="s">
        <v>27</v>
      </c>
      <c r="B15" s="15" t="s">
        <v>28</v>
      </c>
      <c r="C15" s="6">
        <v>236.0</v>
      </c>
      <c r="D15" s="5">
        <v>21.0</v>
      </c>
      <c r="E15" s="6">
        <f t="shared" ref="E15:E17" si="4">C15-D15</f>
        <v>215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12.0</v>
      </c>
      <c r="E17" s="6">
        <f t="shared" si="4"/>
        <v>126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341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15.0</v>
      </c>
      <c r="E22" s="6">
        <f t="shared" si="5"/>
        <v>8</v>
      </c>
      <c r="F22" s="12"/>
    </row>
    <row r="23">
      <c r="A23" s="16"/>
      <c r="B23" s="28" t="s">
        <v>36</v>
      </c>
      <c r="C23" s="5">
        <v>18.0</v>
      </c>
      <c r="D23" s="5">
        <v>14.0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>
        <v>13.0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12</v>
      </c>
      <c r="F26" s="12"/>
    </row>
    <row r="27">
      <c r="A27" s="30" t="s">
        <v>38</v>
      </c>
      <c r="B27" s="24" t="s">
        <v>47</v>
      </c>
      <c r="C27" s="38">
        <v>20.0</v>
      </c>
      <c r="D27" s="5">
        <v>20.0</v>
      </c>
      <c r="E27" s="38">
        <f>C27-D27</f>
        <v>0</v>
      </c>
      <c r="F27" s="27" t="s">
        <v>46</v>
      </c>
    </row>
    <row r="28">
      <c r="A28" s="16"/>
      <c r="B28" s="36" t="s">
        <v>39</v>
      </c>
      <c r="C28" s="37">
        <v>50.0</v>
      </c>
      <c r="D28" s="37"/>
      <c r="E28" s="57">
        <f>C28</f>
        <v>50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50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1063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1.0</v>
      </c>
      <c r="E3" s="6">
        <f t="shared" si="1"/>
        <v>103</v>
      </c>
    </row>
    <row r="4">
      <c r="A4" s="16"/>
      <c r="B4" s="15" t="s">
        <v>18</v>
      </c>
      <c r="C4" s="6">
        <v>306.0</v>
      </c>
      <c r="D4" s="5">
        <v>11.0</v>
      </c>
      <c r="E4" s="6">
        <f t="shared" si="1"/>
        <v>295</v>
      </c>
    </row>
    <row r="5">
      <c r="A5" s="16"/>
      <c r="B5" s="15" t="s">
        <v>19</v>
      </c>
      <c r="C5" s="6">
        <v>35.0</v>
      </c>
      <c r="D5" s="5">
        <v>4.0</v>
      </c>
      <c r="E5" s="6">
        <f t="shared" si="1"/>
        <v>31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535</v>
      </c>
    </row>
    <row r="8">
      <c r="A8" s="14" t="s">
        <v>21</v>
      </c>
      <c r="B8" s="15" t="s">
        <v>22</v>
      </c>
      <c r="C8" s="5">
        <v>35.0</v>
      </c>
      <c r="D8" s="5">
        <v>8.0</v>
      </c>
      <c r="E8" s="6">
        <f t="shared" ref="E8:E9" si="2">C8-D8</f>
        <v>27</v>
      </c>
    </row>
    <row r="9">
      <c r="A9" s="16"/>
      <c r="B9" s="15" t="s">
        <v>23</v>
      </c>
      <c r="C9" s="5">
        <f>25</f>
        <v>25</v>
      </c>
      <c r="D9" s="5">
        <v>9.0</v>
      </c>
      <c r="E9" s="6">
        <f t="shared" si="2"/>
        <v>16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5.0</v>
      </c>
      <c r="E11" s="6">
        <f t="shared" ref="E11:E12" si="3">C11-D11</f>
        <v>20</v>
      </c>
    </row>
    <row r="12">
      <c r="A12" s="16"/>
      <c r="B12" s="15" t="s">
        <v>25</v>
      </c>
      <c r="C12" s="5">
        <v>35.0</v>
      </c>
      <c r="D12" s="5">
        <v>9.0</v>
      </c>
      <c r="E12" s="6">
        <f t="shared" si="3"/>
        <v>26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89</v>
      </c>
    </row>
    <row r="15">
      <c r="A15" s="14" t="s">
        <v>27</v>
      </c>
      <c r="B15" s="15" t="s">
        <v>28</v>
      </c>
      <c r="C15" s="6">
        <v>236.0</v>
      </c>
      <c r="D15" s="5">
        <v>38.0</v>
      </c>
      <c r="E15" s="6">
        <f t="shared" ref="E15:E17" si="4">C15-D15</f>
        <v>198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36.0</v>
      </c>
      <c r="E17" s="6">
        <f t="shared" si="4"/>
        <v>102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300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17.0</v>
      </c>
      <c r="E21" s="6">
        <f t="shared" ref="E21:E23" si="5">C21-D21</f>
        <v>1</v>
      </c>
      <c r="F21" s="12"/>
    </row>
    <row r="22">
      <c r="A22" s="16"/>
      <c r="B22" s="28" t="s">
        <v>35</v>
      </c>
      <c r="C22" s="5">
        <v>23.0</v>
      </c>
      <c r="D22" s="5">
        <v>16.0</v>
      </c>
      <c r="E22" s="6">
        <f t="shared" si="5"/>
        <v>7</v>
      </c>
      <c r="F22" s="12"/>
    </row>
    <row r="23">
      <c r="A23" s="16"/>
      <c r="B23" s="28" t="s">
        <v>36</v>
      </c>
      <c r="C23" s="5">
        <v>18.0</v>
      </c>
      <c r="D23" s="5">
        <v>16.0</v>
      </c>
      <c r="E23" s="6">
        <f t="shared" si="5"/>
        <v>2</v>
      </c>
      <c r="F23" s="12"/>
    </row>
    <row r="24">
      <c r="A24" s="16"/>
      <c r="B24" s="28" t="s">
        <v>37</v>
      </c>
      <c r="C24" s="5">
        <v>23.0</v>
      </c>
      <c r="D24" s="5">
        <v>2.0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10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>C27-D27</f>
        <v>20</v>
      </c>
      <c r="F27" s="27" t="s">
        <v>46</v>
      </c>
    </row>
    <row r="28">
      <c r="A28" s="16"/>
      <c r="B28" s="36" t="s">
        <v>39</v>
      </c>
      <c r="C28" s="37">
        <v>50.0</v>
      </c>
      <c r="D28" s="37"/>
      <c r="E28" s="57">
        <f>C28</f>
        <v>50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70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1047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9.0</v>
      </c>
      <c r="E2" s="6">
        <f t="shared" ref="E2:E5" si="1">C2-D2</f>
        <v>99</v>
      </c>
    </row>
    <row r="3">
      <c r="A3" s="16"/>
      <c r="B3" s="15" t="s">
        <v>17</v>
      </c>
      <c r="C3" s="6">
        <v>104.0</v>
      </c>
      <c r="D3" s="5">
        <v>28.0</v>
      </c>
      <c r="E3" s="6">
        <f t="shared" si="1"/>
        <v>76</v>
      </c>
    </row>
    <row r="4">
      <c r="A4" s="16"/>
      <c r="B4" s="15" t="s">
        <v>18</v>
      </c>
      <c r="C4" s="6">
        <v>306.0</v>
      </c>
      <c r="D4" s="5">
        <v>54.0</v>
      </c>
      <c r="E4" s="6">
        <f t="shared" si="1"/>
        <v>252</v>
      </c>
    </row>
    <row r="5">
      <c r="A5" s="16"/>
      <c r="B5" s="15" t="s">
        <v>19</v>
      </c>
      <c r="C5" s="6">
        <v>35.0</v>
      </c>
      <c r="D5" s="5">
        <v>15.0</v>
      </c>
      <c r="E5" s="6">
        <f t="shared" si="1"/>
        <v>20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447</v>
      </c>
    </row>
    <row r="8">
      <c r="A8" s="14" t="s">
        <v>21</v>
      </c>
      <c r="B8" s="15" t="s">
        <v>22</v>
      </c>
      <c r="C8" s="5">
        <v>35.0</v>
      </c>
      <c r="D8" s="5">
        <v>18.0</v>
      </c>
      <c r="E8" s="6">
        <f t="shared" ref="E8:E9" si="2">C8-D8</f>
        <v>17</v>
      </c>
    </row>
    <row r="9">
      <c r="A9" s="16"/>
      <c r="B9" s="15" t="s">
        <v>23</v>
      </c>
      <c r="C9" s="5">
        <f>25</f>
        <v>25</v>
      </c>
      <c r="D9" s="5"/>
      <c r="E9" s="6">
        <f t="shared" si="2"/>
        <v>25</v>
      </c>
    </row>
    <row r="10">
      <c r="A10" s="16"/>
      <c r="B10" s="4" t="s">
        <v>44</v>
      </c>
      <c r="C10" s="5"/>
      <c r="D10" s="5">
        <v>4.0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18.0</v>
      </c>
      <c r="E11" s="6">
        <f t="shared" ref="E11:E12" si="3">C11-D11</f>
        <v>7</v>
      </c>
    </row>
    <row r="12">
      <c r="A12" s="16"/>
      <c r="B12" s="15" t="s">
        <v>25</v>
      </c>
      <c r="C12" s="5">
        <v>35.0</v>
      </c>
      <c r="D12" s="5">
        <v>28.0</v>
      </c>
      <c r="E12" s="6">
        <f t="shared" si="3"/>
        <v>7</v>
      </c>
    </row>
    <row r="13">
      <c r="A13" s="16"/>
      <c r="B13" s="15" t="s">
        <v>43</v>
      </c>
      <c r="C13" s="17"/>
      <c r="D13" s="5">
        <v>10.0</v>
      </c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56</v>
      </c>
    </row>
    <row r="15">
      <c r="A15" s="14" t="s">
        <v>27</v>
      </c>
      <c r="B15" s="15" t="s">
        <v>28</v>
      </c>
      <c r="C15" s="6">
        <v>236.0</v>
      </c>
      <c r="D15" s="5">
        <v>110.0</v>
      </c>
      <c r="E15" s="6">
        <f t="shared" ref="E15:E17" si="4">C15-D15</f>
        <v>126</v>
      </c>
    </row>
    <row r="16">
      <c r="A16" s="16"/>
      <c r="B16" s="15" t="s">
        <v>29</v>
      </c>
      <c r="C16" s="5"/>
      <c r="D16" s="5">
        <v>0.0</v>
      </c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108.0</v>
      </c>
      <c r="E17" s="6">
        <f t="shared" si="4"/>
        <v>30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156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5">C21-D21</f>
        <v>2</v>
      </c>
      <c r="F21" s="12"/>
    </row>
    <row r="22">
      <c r="A22" s="16"/>
      <c r="B22" s="28" t="s">
        <v>35</v>
      </c>
      <c r="C22" s="5">
        <v>23.0</v>
      </c>
      <c r="D22" s="5">
        <v>24.0</v>
      </c>
      <c r="E22" s="6">
        <f t="shared" si="5"/>
        <v>-1</v>
      </c>
      <c r="F22" s="12"/>
    </row>
    <row r="23">
      <c r="A23" s="16"/>
      <c r="B23" s="28" t="s">
        <v>36</v>
      </c>
      <c r="C23" s="5">
        <v>18.0</v>
      </c>
      <c r="D23" s="5">
        <v>15.0</v>
      </c>
      <c r="E23" s="6">
        <f t="shared" si="5"/>
        <v>3</v>
      </c>
      <c r="F23" s="12"/>
    </row>
    <row r="24">
      <c r="A24" s="16"/>
      <c r="B24" s="28" t="s">
        <v>37</v>
      </c>
      <c r="C24" s="5">
        <v>23.0</v>
      </c>
      <c r="D24" s="5">
        <v>24.0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>C27-D27</f>
        <v>20</v>
      </c>
      <c r="F27" s="27" t="s">
        <v>46</v>
      </c>
    </row>
    <row r="28">
      <c r="A28" s="16"/>
      <c r="B28" s="36" t="s">
        <v>39</v>
      </c>
      <c r="C28" s="37">
        <v>50.0</v>
      </c>
      <c r="D28" s="37"/>
      <c r="E28" s="57">
        <f>C28</f>
        <v>50</v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70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776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20.0</v>
      </c>
      <c r="E2" s="6">
        <f t="shared" ref="E2:E5" si="1">C2-D2</f>
        <v>88</v>
      </c>
    </row>
    <row r="3">
      <c r="A3" s="16"/>
      <c r="B3" s="15" t="s">
        <v>17</v>
      </c>
      <c r="C3" s="6">
        <v>104.0</v>
      </c>
      <c r="D3" s="5">
        <v>20.0</v>
      </c>
      <c r="E3" s="6">
        <f t="shared" si="1"/>
        <v>84</v>
      </c>
    </row>
    <row r="4">
      <c r="A4" s="16"/>
      <c r="B4" s="15" t="s">
        <v>18</v>
      </c>
      <c r="C4" s="6">
        <v>306.0</v>
      </c>
      <c r="D4" s="5">
        <v>89.0</v>
      </c>
      <c r="E4" s="6">
        <f t="shared" si="1"/>
        <v>217</v>
      </c>
    </row>
    <row r="5">
      <c r="A5" s="16"/>
      <c r="B5" s="15" t="s">
        <v>19</v>
      </c>
      <c r="C5" s="6">
        <v>35.0</v>
      </c>
      <c r="D5" s="5">
        <v>25.0</v>
      </c>
      <c r="E5" s="6">
        <f t="shared" si="1"/>
        <v>10</v>
      </c>
    </row>
    <row r="6">
      <c r="A6" s="16"/>
      <c r="B6" s="15" t="s">
        <v>43</v>
      </c>
      <c r="C6" s="17">
        <v>4.0</v>
      </c>
      <c r="D6" s="5"/>
      <c r="E6" s="6">
        <f>C6</f>
        <v>4</v>
      </c>
    </row>
    <row r="7">
      <c r="A7" s="18"/>
      <c r="B7" s="19" t="s">
        <v>20</v>
      </c>
      <c r="C7" s="20"/>
      <c r="D7" s="21"/>
      <c r="E7" s="22">
        <f>SUM(E2:E6)</f>
        <v>403</v>
      </c>
    </row>
    <row r="8">
      <c r="A8" s="14" t="s">
        <v>21</v>
      </c>
      <c r="B8" s="15" t="s">
        <v>22</v>
      </c>
      <c r="C8" s="5">
        <v>35.0</v>
      </c>
      <c r="D8" s="5">
        <v>33.0</v>
      </c>
      <c r="E8" s="6">
        <f t="shared" ref="E8:E9" si="2">C8-D8</f>
        <v>2</v>
      </c>
    </row>
    <row r="9">
      <c r="A9" s="16"/>
      <c r="B9" s="15" t="s">
        <v>23</v>
      </c>
      <c r="C9" s="5">
        <f>25</f>
        <v>25</v>
      </c>
      <c r="D9" s="5">
        <v>4.0</v>
      </c>
      <c r="E9" s="6">
        <f t="shared" si="2"/>
        <v>21</v>
      </c>
    </row>
    <row r="10">
      <c r="A10" s="16"/>
      <c r="B10" s="4" t="s">
        <v>44</v>
      </c>
      <c r="C10" s="5">
        <v>13.0</v>
      </c>
      <c r="D10" s="5"/>
      <c r="E10" s="54">
        <f>C10</f>
        <v>13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11.0</v>
      </c>
      <c r="E11" s="6">
        <f t="shared" ref="E11:E12" si="3">C11-D11</f>
        <v>14</v>
      </c>
    </row>
    <row r="12">
      <c r="A12" s="16"/>
      <c r="B12" s="15" t="s">
        <v>25</v>
      </c>
      <c r="C12" s="5">
        <v>35.0</v>
      </c>
      <c r="D12" s="5">
        <v>19.0</v>
      </c>
      <c r="E12" s="6">
        <f t="shared" si="3"/>
        <v>16</v>
      </c>
    </row>
    <row r="13">
      <c r="A13" s="16"/>
      <c r="B13" s="15" t="s">
        <v>43</v>
      </c>
      <c r="C13" s="17">
        <v>7.0</v>
      </c>
      <c r="D13" s="5"/>
      <c r="E13" s="5">
        <f>C13</f>
        <v>7</v>
      </c>
    </row>
    <row r="14">
      <c r="A14" s="18"/>
      <c r="B14" s="23" t="s">
        <v>26</v>
      </c>
      <c r="C14" s="20"/>
      <c r="D14" s="21"/>
      <c r="E14" s="22">
        <f>SUM(E8:E13)</f>
        <v>73</v>
      </c>
    </row>
    <row r="15">
      <c r="A15" s="14" t="s">
        <v>27</v>
      </c>
      <c r="B15" s="15" t="s">
        <v>28</v>
      </c>
      <c r="C15" s="6">
        <v>236.0</v>
      </c>
      <c r="D15" s="5">
        <v>140.0</v>
      </c>
      <c r="E15" s="6">
        <f t="shared" ref="E15:E17" si="4">C15-D15</f>
        <v>96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121.0</v>
      </c>
      <c r="E17" s="6">
        <f t="shared" si="4"/>
        <v>17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113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4" si="5">C21-D21</f>
        <v>2</v>
      </c>
      <c r="F21" s="12"/>
    </row>
    <row r="22">
      <c r="A22" s="16"/>
      <c r="B22" s="28" t="s">
        <v>35</v>
      </c>
      <c r="C22" s="5">
        <v>23.0</v>
      </c>
      <c r="D22" s="5">
        <v>20.0</v>
      </c>
      <c r="E22" s="6">
        <f t="shared" si="5"/>
        <v>3</v>
      </c>
      <c r="F22" s="12"/>
    </row>
    <row r="23">
      <c r="A23" s="16"/>
      <c r="B23" s="28" t="s">
        <v>36</v>
      </c>
      <c r="C23" s="5">
        <v>18.0</v>
      </c>
      <c r="D23" s="5">
        <v>17.0</v>
      </c>
      <c r="E23" s="6">
        <f t="shared" si="5"/>
        <v>1</v>
      </c>
      <c r="F23" s="12"/>
    </row>
    <row r="24">
      <c r="A24" s="16"/>
      <c r="B24" s="28" t="s">
        <v>37</v>
      </c>
      <c r="C24" s="5">
        <v>23.0</v>
      </c>
      <c r="D24" s="5">
        <v>21.0</v>
      </c>
      <c r="E24" s="5">
        <f t="shared" si="5"/>
        <v>2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8</v>
      </c>
      <c r="F26" s="12"/>
    </row>
    <row r="27">
      <c r="A27" s="30" t="s">
        <v>38</v>
      </c>
      <c r="B27" s="24" t="s">
        <v>47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39</v>
      </c>
      <c r="C28" s="37"/>
      <c r="D28" s="37"/>
      <c r="E28" s="57" t="str">
        <f t="shared" ref="E28:E29" si="6">C28</f>
        <v/>
      </c>
    </row>
    <row r="29">
      <c r="A29" s="16"/>
      <c r="B29" s="39" t="s">
        <v>48</v>
      </c>
      <c r="C29" s="40">
        <v>16.0</v>
      </c>
      <c r="D29" s="40"/>
      <c r="E29" s="38">
        <f t="shared" si="6"/>
        <v>16</v>
      </c>
    </row>
    <row r="30">
      <c r="A30" s="18"/>
      <c r="B30" s="41" t="s">
        <v>20</v>
      </c>
      <c r="C30" s="33"/>
      <c r="D30" s="34"/>
      <c r="E30" s="42">
        <f>SUM(E27:E29)</f>
        <v>16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656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6.0</v>
      </c>
      <c r="E3" s="6">
        <f t="shared" si="1"/>
        <v>98</v>
      </c>
    </row>
    <row r="4">
      <c r="A4" s="16"/>
      <c r="B4" s="15" t="s">
        <v>18</v>
      </c>
      <c r="C4" s="6">
        <v>306.0</v>
      </c>
      <c r="D4" s="5">
        <v>60.0</v>
      </c>
      <c r="E4" s="6">
        <f t="shared" si="1"/>
        <v>246</v>
      </c>
    </row>
    <row r="5">
      <c r="A5" s="16"/>
      <c r="B5" s="15" t="s">
        <v>19</v>
      </c>
      <c r="C5" s="6">
        <v>35.0</v>
      </c>
      <c r="D5" s="5">
        <v>3.0</v>
      </c>
      <c r="E5" s="6">
        <f t="shared" si="1"/>
        <v>32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478</v>
      </c>
    </row>
    <row r="8">
      <c r="A8" s="14" t="s">
        <v>21</v>
      </c>
      <c r="B8" s="15" t="s">
        <v>22</v>
      </c>
      <c r="C8" s="5">
        <v>35.0</v>
      </c>
      <c r="D8" s="5">
        <v>19.0</v>
      </c>
      <c r="E8" s="6">
        <f t="shared" ref="E8:E9" si="2">C8-D8</f>
        <v>16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>
        <v>5.0</v>
      </c>
      <c r="D10" s="5">
        <v>0.0</v>
      </c>
      <c r="E10" s="54">
        <f>C10</f>
        <v>5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8.0</v>
      </c>
      <c r="E11" s="6">
        <f t="shared" ref="E11:E12" si="3">C11-D11</f>
        <v>17</v>
      </c>
    </row>
    <row r="12">
      <c r="A12" s="16"/>
      <c r="B12" s="15" t="s">
        <v>25</v>
      </c>
      <c r="C12" s="5">
        <v>35.0</v>
      </c>
      <c r="D12" s="5">
        <v>20.0</v>
      </c>
      <c r="E12" s="6">
        <f t="shared" si="3"/>
        <v>15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71</v>
      </c>
    </row>
    <row r="15">
      <c r="A15" s="14" t="s">
        <v>27</v>
      </c>
      <c r="B15" s="15" t="s">
        <v>28</v>
      </c>
      <c r="C15" s="6">
        <v>236.0</v>
      </c>
      <c r="D15" s="5">
        <v>143.0</v>
      </c>
      <c r="E15" s="6">
        <f t="shared" ref="E15:E17" si="4">C15-D15</f>
        <v>93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109.0</v>
      </c>
      <c r="E17" s="6">
        <f t="shared" si="4"/>
        <v>29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122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21.0</v>
      </c>
      <c r="E22" s="6">
        <f t="shared" si="5"/>
        <v>2</v>
      </c>
      <c r="F22" s="12"/>
    </row>
    <row r="23">
      <c r="A23" s="16"/>
      <c r="B23" s="28" t="s">
        <v>36</v>
      </c>
      <c r="C23" s="5">
        <v>18.0</v>
      </c>
      <c r="D23" s="5">
        <v>17.0</v>
      </c>
      <c r="E23" s="6">
        <f t="shared" si="5"/>
        <v>1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3</v>
      </c>
      <c r="F26" s="12"/>
    </row>
    <row r="27">
      <c r="A27" s="30" t="s">
        <v>38</v>
      </c>
      <c r="B27" s="24" t="s">
        <v>47</v>
      </c>
      <c r="C27" s="38">
        <v>20.0</v>
      </c>
      <c r="D27" s="5">
        <v>20.0</v>
      </c>
      <c r="E27" s="38">
        <f>C27-D27</f>
        <v>0</v>
      </c>
      <c r="F27" s="27" t="s">
        <v>46</v>
      </c>
    </row>
    <row r="28">
      <c r="A28" s="16"/>
      <c r="B28" s="36" t="s">
        <v>39</v>
      </c>
      <c r="C28" s="37">
        <v>50.0</v>
      </c>
      <c r="D28" s="37">
        <v>50.0</v>
      </c>
      <c r="E28" s="57">
        <f>C28</f>
        <v>50</v>
      </c>
    </row>
    <row r="29">
      <c r="A29" s="16"/>
      <c r="B29" s="39" t="s">
        <v>48</v>
      </c>
      <c r="C29" s="40">
        <v>23.0</v>
      </c>
      <c r="D29" s="40">
        <v>23.0</v>
      </c>
      <c r="E29" s="38"/>
    </row>
    <row r="30">
      <c r="A30" s="18"/>
      <c r="B30" s="41" t="s">
        <v>20</v>
      </c>
      <c r="C30" s="33"/>
      <c r="D30" s="34"/>
      <c r="E30" s="42">
        <f>SUM(E27:E29)</f>
        <v>50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767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/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9.0</v>
      </c>
      <c r="E4" s="6">
        <f t="shared" si="1"/>
        <v>297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541</v>
      </c>
    </row>
    <row r="8">
      <c r="A8" s="14" t="s">
        <v>21</v>
      </c>
      <c r="B8" s="15" t="s">
        <v>22</v>
      </c>
      <c r="C8" s="5">
        <v>35.0</v>
      </c>
      <c r="D8" s="5">
        <v>9.0</v>
      </c>
      <c r="E8" s="6">
        <f t="shared" ref="E8:E9" si="2">C8-D8</f>
        <v>26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3.0</v>
      </c>
      <c r="E11" s="6">
        <f t="shared" ref="E11:E12" si="3">C11-D11</f>
        <v>22</v>
      </c>
    </row>
    <row r="12">
      <c r="A12" s="16"/>
      <c r="B12" s="15" t="s">
        <v>25</v>
      </c>
      <c r="C12" s="5">
        <v>35.0</v>
      </c>
      <c r="D12" s="5">
        <v>2.0</v>
      </c>
      <c r="E12" s="6">
        <f t="shared" si="3"/>
        <v>33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99</v>
      </c>
    </row>
    <row r="15">
      <c r="A15" s="14" t="s">
        <v>27</v>
      </c>
      <c r="B15" s="15" t="s">
        <v>28</v>
      </c>
      <c r="C15" s="6">
        <v>236.0</v>
      </c>
      <c r="D15" s="5">
        <v>9.0</v>
      </c>
      <c r="E15" s="6">
        <f t="shared" ref="E15:E17" si="4">C15-D15</f>
        <v>227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22.0</v>
      </c>
      <c r="E17" s="6">
        <f t="shared" si="4"/>
        <v>116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343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5.0</v>
      </c>
      <c r="E21" s="6">
        <f t="shared" ref="E21:E23" si="5">C21-D21</f>
        <v>13</v>
      </c>
      <c r="F21" s="12"/>
    </row>
    <row r="22">
      <c r="A22" s="16"/>
      <c r="B22" s="28" t="s">
        <v>35</v>
      </c>
      <c r="C22" s="5">
        <v>23.0</v>
      </c>
      <c r="D22" s="5"/>
      <c r="E22" s="6">
        <f t="shared" si="5"/>
        <v>23</v>
      </c>
      <c r="F22" s="12"/>
    </row>
    <row r="23">
      <c r="A23" s="16"/>
      <c r="B23" s="28" t="s">
        <v>36</v>
      </c>
      <c r="C23" s="5">
        <v>18.0</v>
      </c>
      <c r="D23" s="5">
        <v>1.0</v>
      </c>
      <c r="E23" s="6">
        <f t="shared" si="5"/>
        <v>17</v>
      </c>
      <c r="F23" s="12"/>
    </row>
    <row r="24">
      <c r="A24" s="16"/>
      <c r="B24" s="28" t="s">
        <v>37</v>
      </c>
      <c r="C24" s="5">
        <v>23.0</v>
      </c>
      <c r="D24" s="5"/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53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>C27-D27</f>
        <v>20</v>
      </c>
      <c r="F27" s="27" t="s">
        <v>46</v>
      </c>
    </row>
    <row r="28">
      <c r="A28" s="16"/>
      <c r="B28" s="36" t="s">
        <v>39</v>
      </c>
      <c r="C28" s="37">
        <v>50.0</v>
      </c>
      <c r="D28" s="37"/>
      <c r="E28" s="57">
        <f>C28</f>
        <v>50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70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1149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5" si="1">C2-D2</f>
        <v>104</v>
      </c>
    </row>
    <row r="3">
      <c r="A3" s="16"/>
      <c r="B3" s="15" t="s">
        <v>17</v>
      </c>
      <c r="C3" s="6">
        <v>104.0</v>
      </c>
      <c r="D3" s="5">
        <v>6.0</v>
      </c>
      <c r="E3" s="6">
        <f t="shared" si="1"/>
        <v>98</v>
      </c>
    </row>
    <row r="4">
      <c r="A4" s="16"/>
      <c r="B4" s="15" t="s">
        <v>18</v>
      </c>
      <c r="C4" s="6">
        <v>306.0</v>
      </c>
      <c r="D4" s="5">
        <v>5.0</v>
      </c>
      <c r="E4" s="6">
        <f t="shared" si="1"/>
        <v>301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536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4" t="s">
        <v>44</v>
      </c>
      <c r="C10" s="5"/>
      <c r="D10" s="5">
        <v>5.0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1.0</v>
      </c>
      <c r="E12" s="6">
        <f t="shared" si="3"/>
        <v>34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114</v>
      </c>
    </row>
    <row r="15">
      <c r="A15" s="14" t="s">
        <v>27</v>
      </c>
      <c r="B15" s="15" t="s">
        <v>28</v>
      </c>
      <c r="C15" s="6">
        <v>236.0</v>
      </c>
      <c r="D15" s="5">
        <v>4.0</v>
      </c>
      <c r="E15" s="6">
        <f t="shared" ref="E15:E17" si="4">C15-D15</f>
        <v>232</v>
      </c>
    </row>
    <row r="16">
      <c r="A16" s="16"/>
      <c r="B16" s="15" t="s">
        <v>29</v>
      </c>
      <c r="C16" s="5"/>
      <c r="D16" s="5">
        <v>2.0</v>
      </c>
      <c r="E16" s="6">
        <f t="shared" si="4"/>
        <v>-2</v>
      </c>
    </row>
    <row r="17">
      <c r="A17" s="16"/>
      <c r="B17" s="4" t="s">
        <v>30</v>
      </c>
      <c r="C17" s="6">
        <v>138.0</v>
      </c>
      <c r="D17" s="5">
        <v>2.0</v>
      </c>
      <c r="E17" s="6">
        <f t="shared" si="4"/>
        <v>136</v>
      </c>
    </row>
    <row r="18">
      <c r="A18" s="16"/>
      <c r="B18" s="24" t="s">
        <v>31</v>
      </c>
      <c r="C18" s="25"/>
      <c r="D18" s="26">
        <v>34.0</v>
      </c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366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1.0</v>
      </c>
      <c r="E21" s="6">
        <f t="shared" ref="E21:E24" si="5">C21-D21</f>
        <v>17</v>
      </c>
      <c r="F21" s="12"/>
    </row>
    <row r="22">
      <c r="A22" s="16"/>
      <c r="B22" s="28" t="s">
        <v>35</v>
      </c>
      <c r="C22" s="5">
        <v>23.0</v>
      </c>
      <c r="D22" s="5">
        <v>0.0</v>
      </c>
      <c r="E22" s="6">
        <f t="shared" si="5"/>
        <v>23</v>
      </c>
      <c r="F22" s="12"/>
    </row>
    <row r="23">
      <c r="A23" s="16"/>
      <c r="B23" s="28" t="s">
        <v>36</v>
      </c>
      <c r="C23" s="5">
        <v>18.0</v>
      </c>
      <c r="D23" s="5">
        <v>4.0</v>
      </c>
      <c r="E23" s="6">
        <f t="shared" si="5"/>
        <v>14</v>
      </c>
      <c r="F23" s="12"/>
    </row>
    <row r="24">
      <c r="A24" s="16"/>
      <c r="B24" s="28" t="s">
        <v>37</v>
      </c>
      <c r="C24" s="5">
        <v>23.0</v>
      </c>
      <c r="D24" s="5">
        <v>0.0</v>
      </c>
      <c r="E24" s="6">
        <f t="shared" si="5"/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77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 t="shared" ref="E27:E28" si="6">C27-D27</f>
        <v>20</v>
      </c>
      <c r="F27" s="27" t="s">
        <v>46</v>
      </c>
    </row>
    <row r="28">
      <c r="A28" s="16"/>
      <c r="B28" s="36" t="s">
        <v>39</v>
      </c>
      <c r="C28" s="37">
        <v>50.0</v>
      </c>
      <c r="D28" s="37">
        <v>26.0</v>
      </c>
      <c r="E28" s="38">
        <f t="shared" si="6"/>
        <v>24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44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42.0</v>
      </c>
      <c r="D34" s="5"/>
      <c r="E34" s="6">
        <f>C34-D42</f>
        <v>42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42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1179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7.0</v>
      </c>
      <c r="E2" s="6">
        <f t="shared" ref="E2:E5" si="1">C2-D2</f>
        <v>101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23.0</v>
      </c>
      <c r="E4" s="6">
        <f t="shared" si="1"/>
        <v>283</v>
      </c>
    </row>
    <row r="5">
      <c r="A5" s="16"/>
      <c r="B5" s="15" t="s">
        <v>19</v>
      </c>
      <c r="C5" s="6">
        <v>35.0</v>
      </c>
      <c r="D5" s="5">
        <v>0.0</v>
      </c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519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4" t="s">
        <v>44</v>
      </c>
      <c r="C10" s="5"/>
      <c r="D10" s="5">
        <v>5.0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2.0</v>
      </c>
      <c r="E12" s="6">
        <f t="shared" si="3"/>
        <v>33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112</v>
      </c>
    </row>
    <row r="15">
      <c r="A15" s="14" t="s">
        <v>27</v>
      </c>
      <c r="B15" s="15" t="s">
        <v>28</v>
      </c>
      <c r="C15" s="6">
        <v>236.0</v>
      </c>
      <c r="D15" s="5">
        <v>24.0</v>
      </c>
      <c r="E15" s="6">
        <f t="shared" ref="E15:E17" si="4">C15-D15</f>
        <v>212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22.0</v>
      </c>
      <c r="E17" s="6">
        <f t="shared" si="4"/>
        <v>116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328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4.0</v>
      </c>
      <c r="E21" s="6">
        <f t="shared" ref="E21:E23" si="5">C21-D21</f>
        <v>14</v>
      </c>
      <c r="F21" s="12"/>
    </row>
    <row r="22">
      <c r="A22" s="16"/>
      <c r="B22" s="28" t="s">
        <v>35</v>
      </c>
      <c r="C22" s="5">
        <v>23.0</v>
      </c>
      <c r="D22" s="5">
        <v>7.0</v>
      </c>
      <c r="E22" s="6">
        <f t="shared" si="5"/>
        <v>16</v>
      </c>
      <c r="F22" s="12"/>
    </row>
    <row r="23">
      <c r="A23" s="16"/>
      <c r="B23" s="28" t="s">
        <v>36</v>
      </c>
      <c r="C23" s="5">
        <v>18.0</v>
      </c>
      <c r="D23" s="5">
        <v>2.0</v>
      </c>
      <c r="E23" s="6">
        <f t="shared" si="5"/>
        <v>16</v>
      </c>
      <c r="F23" s="12"/>
    </row>
    <row r="24">
      <c r="A24" s="16"/>
      <c r="B24" s="28" t="s">
        <v>37</v>
      </c>
      <c r="C24" s="5">
        <v>23.0</v>
      </c>
      <c r="D24" s="5">
        <v>8.0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46</v>
      </c>
      <c r="F26" s="12"/>
    </row>
    <row r="27">
      <c r="A27" s="30" t="s">
        <v>38</v>
      </c>
      <c r="B27" s="24" t="s">
        <v>47</v>
      </c>
      <c r="C27" s="38">
        <v>20.0</v>
      </c>
      <c r="D27" s="5"/>
      <c r="E27" s="38">
        <f t="shared" ref="E27:E28" si="6">C27-D27</f>
        <v>20</v>
      </c>
      <c r="F27" s="27" t="s">
        <v>46</v>
      </c>
    </row>
    <row r="28">
      <c r="A28" s="16"/>
      <c r="B28" s="36" t="s">
        <v>39</v>
      </c>
      <c r="C28" s="37">
        <v>65.0</v>
      </c>
      <c r="D28" s="37"/>
      <c r="E28" s="38">
        <f t="shared" si="6"/>
        <v>65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85</v>
      </c>
    </row>
    <row r="31">
      <c r="A31" s="30" t="s">
        <v>49</v>
      </c>
      <c r="B31" s="4" t="s">
        <v>41</v>
      </c>
      <c r="C31" s="5">
        <v>19.0</v>
      </c>
      <c r="D31" s="5">
        <v>19.0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42.0</v>
      </c>
      <c r="D34" s="5"/>
      <c r="E34" s="5">
        <v>42.0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42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1132</v>
      </c>
    </row>
    <row r="39">
      <c r="A39" s="49"/>
      <c r="B39" s="49"/>
      <c r="C39" s="49"/>
      <c r="D39" s="50"/>
      <c r="E39" s="49"/>
    </row>
    <row r="41">
      <c r="B41" s="51"/>
      <c r="C41" s="52"/>
    </row>
    <row r="42">
      <c r="B42" s="53"/>
      <c r="C42" s="5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/>
      <c r="E4" s="6">
        <f t="shared" si="1"/>
        <v>306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548</v>
      </c>
    </row>
    <row r="8">
      <c r="A8" s="14" t="s">
        <v>21</v>
      </c>
      <c r="B8" s="15" t="s">
        <v>22</v>
      </c>
      <c r="C8" s="5">
        <v>35.0</v>
      </c>
      <c r="D8" s="5">
        <v>4.0</v>
      </c>
      <c r="E8" s="6">
        <f t="shared" ref="E8:E9" si="2">C8-D8</f>
        <v>31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/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/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115</v>
      </c>
    </row>
    <row r="15">
      <c r="A15" s="14" t="s">
        <v>27</v>
      </c>
      <c r="B15" s="15" t="s">
        <v>28</v>
      </c>
      <c r="C15" s="6">
        <v>236.0</v>
      </c>
      <c r="D15" s="5">
        <v>1.0</v>
      </c>
      <c r="E15" s="6">
        <f t="shared" ref="E15:E17" si="4">C15-D15</f>
        <v>235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2.0</v>
      </c>
      <c r="E17" s="6">
        <f t="shared" si="4"/>
        <v>136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371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3.0</v>
      </c>
      <c r="E21" s="6">
        <f t="shared" ref="E21:E23" si="5">C21-D21</f>
        <v>15</v>
      </c>
      <c r="F21" s="12"/>
    </row>
    <row r="22">
      <c r="A22" s="16"/>
      <c r="B22" s="28" t="s">
        <v>35</v>
      </c>
      <c r="C22" s="5">
        <v>23.0</v>
      </c>
      <c r="D22" s="5">
        <v>1.0</v>
      </c>
      <c r="E22" s="6">
        <f t="shared" si="5"/>
        <v>22</v>
      </c>
      <c r="F22" s="12"/>
    </row>
    <row r="23">
      <c r="A23" s="16"/>
      <c r="B23" s="28" t="s">
        <v>36</v>
      </c>
      <c r="C23" s="5">
        <v>18.0</v>
      </c>
      <c r="D23" s="5"/>
      <c r="E23" s="6">
        <f t="shared" si="5"/>
        <v>18</v>
      </c>
      <c r="F23" s="12"/>
    </row>
    <row r="24">
      <c r="A24" s="16"/>
      <c r="B24" s="28" t="s">
        <v>37</v>
      </c>
      <c r="C24" s="5">
        <v>23.0</v>
      </c>
      <c r="D24" s="5"/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55</v>
      </c>
      <c r="F26" s="12"/>
    </row>
    <row r="27">
      <c r="A27" s="30" t="s">
        <v>38</v>
      </c>
      <c r="B27" s="24" t="s">
        <v>47</v>
      </c>
      <c r="C27" s="38">
        <v>20.0</v>
      </c>
      <c r="D27" s="5">
        <v>15.0</v>
      </c>
      <c r="E27" s="38">
        <f>C27-D27</f>
        <v>5</v>
      </c>
      <c r="F27" s="27" t="s">
        <v>46</v>
      </c>
    </row>
    <row r="28">
      <c r="A28" s="16"/>
      <c r="B28" s="36" t="s">
        <v>39</v>
      </c>
      <c r="C28" s="37">
        <v>50.0</v>
      </c>
      <c r="D28" s="37">
        <v>31.0</v>
      </c>
      <c r="E28" s="57">
        <f>C28</f>
        <v>50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55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1187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/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/>
      <c r="E3" s="6">
        <f t="shared" si="1"/>
        <v>104</v>
      </c>
    </row>
    <row r="4">
      <c r="A4" s="16"/>
      <c r="B4" s="15" t="s">
        <v>18</v>
      </c>
      <c r="C4" s="6">
        <v>306.0</v>
      </c>
      <c r="D4" s="5">
        <v>2.0</v>
      </c>
      <c r="E4" s="6">
        <f t="shared" si="1"/>
        <v>304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551</v>
      </c>
    </row>
    <row r="8">
      <c r="A8" s="14" t="s">
        <v>21</v>
      </c>
      <c r="B8" s="15" t="s">
        <v>22</v>
      </c>
      <c r="C8" s="5">
        <v>35.0</v>
      </c>
      <c r="D8" s="5"/>
      <c r="E8" s="6">
        <f t="shared" ref="E8:E9" si="2">C8-D8</f>
        <v>35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1.0</v>
      </c>
      <c r="E11" s="6">
        <f t="shared" ref="E11:E12" si="3">C11-D11</f>
        <v>24</v>
      </c>
    </row>
    <row r="12">
      <c r="A12" s="16"/>
      <c r="B12" s="15" t="s">
        <v>25</v>
      </c>
      <c r="C12" s="5">
        <v>35.0</v>
      </c>
      <c r="D12" s="5">
        <v>1.0</v>
      </c>
      <c r="E12" s="6">
        <f t="shared" si="3"/>
        <v>34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117</v>
      </c>
    </row>
    <row r="15">
      <c r="A15" s="14" t="s">
        <v>27</v>
      </c>
      <c r="B15" s="15" t="s">
        <v>28</v>
      </c>
      <c r="C15" s="6">
        <v>236.0</v>
      </c>
      <c r="D15" s="5"/>
      <c r="E15" s="6">
        <f t="shared" ref="E15:E17" si="4">C15-D15</f>
        <v>236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/>
      <c r="E17" s="6">
        <f t="shared" si="4"/>
        <v>138</v>
      </c>
    </row>
    <row r="18">
      <c r="A18" s="16"/>
      <c r="B18" s="24" t="s">
        <v>31</v>
      </c>
      <c r="C18" s="25">
        <v>38.0</v>
      </c>
      <c r="D18" s="26">
        <v>5.0</v>
      </c>
      <c r="E18" s="54">
        <f>C18-D19</f>
        <v>38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412</v>
      </c>
      <c r="F20" s="12"/>
    </row>
    <row r="21">
      <c r="A21" s="30" t="s">
        <v>33</v>
      </c>
      <c r="B21" s="28" t="s">
        <v>34</v>
      </c>
      <c r="C21" s="5">
        <v>18.0</v>
      </c>
      <c r="D21" s="5"/>
      <c r="E21" s="6">
        <f t="shared" ref="E21:E23" si="5">C21-D21</f>
        <v>18</v>
      </c>
      <c r="F21" s="12"/>
    </row>
    <row r="22">
      <c r="A22" s="16"/>
      <c r="B22" s="28" t="s">
        <v>35</v>
      </c>
      <c r="C22" s="5">
        <v>23.0</v>
      </c>
      <c r="D22" s="5"/>
      <c r="E22" s="6">
        <f t="shared" si="5"/>
        <v>23</v>
      </c>
      <c r="F22" s="12"/>
    </row>
    <row r="23">
      <c r="A23" s="16"/>
      <c r="B23" s="28" t="s">
        <v>36</v>
      </c>
      <c r="C23" s="5">
        <v>18.0</v>
      </c>
      <c r="D23" s="5"/>
      <c r="E23" s="6">
        <f t="shared" si="5"/>
        <v>18</v>
      </c>
      <c r="F23" s="12"/>
    </row>
    <row r="24">
      <c r="A24" s="16"/>
      <c r="B24" s="28" t="s">
        <v>37</v>
      </c>
      <c r="C24" s="5">
        <v>23.0</v>
      </c>
      <c r="D24" s="5"/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59</v>
      </c>
      <c r="F26" s="12"/>
    </row>
    <row r="27">
      <c r="A27" s="30" t="s">
        <v>38</v>
      </c>
      <c r="B27" s="24" t="s">
        <v>50</v>
      </c>
      <c r="C27" s="38">
        <v>48.0</v>
      </c>
      <c r="D27" s="5">
        <v>3.0</v>
      </c>
      <c r="E27" s="38">
        <f>C27-D27</f>
        <v>45</v>
      </c>
      <c r="F27" s="27" t="s">
        <v>46</v>
      </c>
    </row>
    <row r="28">
      <c r="A28" s="16"/>
      <c r="B28" s="36" t="s">
        <v>51</v>
      </c>
      <c r="C28" s="37">
        <v>60.0</v>
      </c>
      <c r="D28" s="37">
        <v>5.0</v>
      </c>
      <c r="E28" s="57">
        <f>C28</f>
        <v>60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105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31.0</v>
      </c>
      <c r="D34" s="5"/>
      <c r="E34" s="6">
        <f>C34-D42</f>
        <v>31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31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1294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0.0</v>
      </c>
      <c r="E2" s="6">
        <f t="shared" ref="E2:E5" si="1">C2-D2</f>
        <v>108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16.0</v>
      </c>
      <c r="E4" s="6">
        <f t="shared" si="1"/>
        <v>290</v>
      </c>
    </row>
    <row r="5">
      <c r="A5" s="16"/>
      <c r="B5" s="15" t="s">
        <v>19</v>
      </c>
      <c r="C5" s="6">
        <v>35.0</v>
      </c>
      <c r="D5" s="5">
        <v>4.0</v>
      </c>
      <c r="E5" s="6">
        <f t="shared" si="1"/>
        <v>31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531</v>
      </c>
    </row>
    <row r="8">
      <c r="A8" s="14" t="s">
        <v>21</v>
      </c>
      <c r="B8" s="15" t="s">
        <v>22</v>
      </c>
      <c r="C8" s="5">
        <v>35.0</v>
      </c>
      <c r="D8" s="5">
        <v>0.0</v>
      </c>
      <c r="E8" s="6">
        <f t="shared" ref="E8:E9" si="2">C8-D8</f>
        <v>35</v>
      </c>
    </row>
    <row r="9">
      <c r="A9" s="16"/>
      <c r="B9" s="15" t="s">
        <v>23</v>
      </c>
      <c r="C9" s="5">
        <f>25</f>
        <v>25</v>
      </c>
      <c r="D9" s="5">
        <v>0.0</v>
      </c>
      <c r="E9" s="6">
        <f t="shared" si="2"/>
        <v>25</v>
      </c>
    </row>
    <row r="10">
      <c r="A10" s="16"/>
      <c r="B10" s="4" t="s">
        <v>44</v>
      </c>
      <c r="C10" s="5"/>
      <c r="D10" s="5">
        <v>0.0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1.0</v>
      </c>
      <c r="E11" s="6">
        <f t="shared" ref="E11:E12" si="3">C11-D11</f>
        <v>24</v>
      </c>
    </row>
    <row r="12">
      <c r="A12" s="16"/>
      <c r="B12" s="15" t="s">
        <v>25</v>
      </c>
      <c r="C12" s="5">
        <v>35.0</v>
      </c>
      <c r="D12" s="5">
        <v>4.0</v>
      </c>
      <c r="E12" s="6">
        <f t="shared" si="3"/>
        <v>31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115</v>
      </c>
    </row>
    <row r="15">
      <c r="A15" s="14" t="s">
        <v>27</v>
      </c>
      <c r="B15" s="15" t="s">
        <v>28</v>
      </c>
      <c r="C15" s="6">
        <v>236.0</v>
      </c>
      <c r="D15" s="5">
        <v>7.0</v>
      </c>
      <c r="E15" s="6">
        <f t="shared" ref="E15:E17" si="4">C15-D15</f>
        <v>229</v>
      </c>
    </row>
    <row r="16">
      <c r="A16" s="16"/>
      <c r="B16" s="15" t="s">
        <v>29</v>
      </c>
      <c r="C16" s="5"/>
      <c r="D16" s="5">
        <v>0.0</v>
      </c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3.0</v>
      </c>
      <c r="E17" s="6">
        <f t="shared" si="4"/>
        <v>135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364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2.0</v>
      </c>
      <c r="E21" s="6">
        <f t="shared" ref="E21:E23" si="5">C21-D21</f>
        <v>16</v>
      </c>
      <c r="F21" s="12"/>
    </row>
    <row r="22">
      <c r="A22" s="16"/>
      <c r="B22" s="28" t="s">
        <v>35</v>
      </c>
      <c r="C22" s="5">
        <v>23.0</v>
      </c>
      <c r="D22" s="5">
        <v>1.0</v>
      </c>
      <c r="E22" s="6">
        <f t="shared" si="5"/>
        <v>22</v>
      </c>
      <c r="F22" s="12"/>
    </row>
    <row r="23">
      <c r="A23" s="16"/>
      <c r="B23" s="28" t="s">
        <v>36</v>
      </c>
      <c r="C23" s="5">
        <v>18.0</v>
      </c>
      <c r="D23" s="5">
        <v>0.0</v>
      </c>
      <c r="E23" s="6">
        <f t="shared" si="5"/>
        <v>18</v>
      </c>
      <c r="F23" s="12"/>
    </row>
    <row r="24">
      <c r="A24" s="16"/>
      <c r="B24" s="28" t="s">
        <v>37</v>
      </c>
      <c r="C24" s="5">
        <v>23.0</v>
      </c>
      <c r="D24" s="5">
        <v>0.0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56</v>
      </c>
      <c r="F26" s="12"/>
    </row>
    <row r="27">
      <c r="A27" s="30" t="s">
        <v>38</v>
      </c>
      <c r="B27" s="24" t="s">
        <v>50</v>
      </c>
      <c r="C27" s="38">
        <v>33.0</v>
      </c>
      <c r="D27" s="5">
        <v>19.0</v>
      </c>
      <c r="E27" s="38">
        <f>C27-D27</f>
        <v>14</v>
      </c>
      <c r="F27" s="27" t="s">
        <v>46</v>
      </c>
    </row>
    <row r="28">
      <c r="A28" s="16"/>
      <c r="B28" s="36" t="s">
        <v>51</v>
      </c>
      <c r="C28" s="37">
        <v>100.0</v>
      </c>
      <c r="D28" s="37">
        <v>11.0</v>
      </c>
      <c r="E28" s="57">
        <f>C28</f>
        <v>100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114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1223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11.0</v>
      </c>
      <c r="E3" s="6">
        <f t="shared" si="1"/>
        <v>93</v>
      </c>
    </row>
    <row r="4">
      <c r="A4" s="16"/>
      <c r="B4" s="15" t="s">
        <v>18</v>
      </c>
      <c r="C4" s="6">
        <v>306.0</v>
      </c>
      <c r="D4" s="5">
        <v>38.0</v>
      </c>
      <c r="E4" s="6">
        <f t="shared" si="1"/>
        <v>268</v>
      </c>
    </row>
    <row r="5">
      <c r="A5" s="16"/>
      <c r="B5" s="15" t="s">
        <v>19</v>
      </c>
      <c r="C5" s="6">
        <v>35.0</v>
      </c>
      <c r="D5" s="5">
        <v>0.0</v>
      </c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502</v>
      </c>
    </row>
    <row r="8">
      <c r="A8" s="14" t="s">
        <v>21</v>
      </c>
      <c r="B8" s="15" t="s">
        <v>22</v>
      </c>
      <c r="C8" s="5">
        <v>35.0</v>
      </c>
      <c r="D8" s="5">
        <v>7.0</v>
      </c>
      <c r="E8" s="6">
        <f t="shared" ref="E8:E9" si="2">C8-D8</f>
        <v>28</v>
      </c>
    </row>
    <row r="9">
      <c r="A9" s="16"/>
      <c r="B9" s="15" t="s">
        <v>23</v>
      </c>
      <c r="C9" s="5">
        <f>25</f>
        <v>25</v>
      </c>
      <c r="D9" s="5">
        <v>1.0</v>
      </c>
      <c r="E9" s="6">
        <f t="shared" si="2"/>
        <v>24</v>
      </c>
    </row>
    <row r="10">
      <c r="A10" s="16"/>
      <c r="B10" s="4" t="s">
        <v>44</v>
      </c>
      <c r="C10" s="5"/>
      <c r="D10" s="5">
        <v>4.0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6.0</v>
      </c>
      <c r="E11" s="6">
        <f t="shared" ref="E11:E12" si="3">C11-D11</f>
        <v>19</v>
      </c>
    </row>
    <row r="12">
      <c r="A12" s="16"/>
      <c r="B12" s="15" t="s">
        <v>25</v>
      </c>
      <c r="C12" s="5">
        <v>35.0</v>
      </c>
      <c r="D12" s="5">
        <v>9.0</v>
      </c>
      <c r="E12" s="6">
        <f t="shared" si="3"/>
        <v>26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97</v>
      </c>
    </row>
    <row r="15">
      <c r="A15" s="14" t="s">
        <v>27</v>
      </c>
      <c r="B15" s="15" t="s">
        <v>28</v>
      </c>
      <c r="C15" s="6">
        <v>236.0</v>
      </c>
      <c r="D15" s="5">
        <v>2.0</v>
      </c>
      <c r="E15" s="6">
        <f t="shared" ref="E15:E17" si="4">C15-D15</f>
        <v>234</v>
      </c>
    </row>
    <row r="16">
      <c r="A16" s="16"/>
      <c r="B16" s="15" t="s">
        <v>29</v>
      </c>
      <c r="C16" s="5"/>
      <c r="D16" s="5">
        <v>0.0</v>
      </c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13.0</v>
      </c>
      <c r="E17" s="6">
        <f t="shared" si="4"/>
        <v>125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359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2.0</v>
      </c>
      <c r="E21" s="6">
        <f t="shared" ref="E21:E23" si="5">C21-D21</f>
        <v>16</v>
      </c>
      <c r="F21" s="12"/>
    </row>
    <row r="22">
      <c r="A22" s="16"/>
      <c r="B22" s="28" t="s">
        <v>35</v>
      </c>
      <c r="C22" s="5">
        <v>23.0</v>
      </c>
      <c r="D22" s="5">
        <v>0.0</v>
      </c>
      <c r="E22" s="6">
        <f t="shared" si="5"/>
        <v>23</v>
      </c>
      <c r="F22" s="12"/>
    </row>
    <row r="23">
      <c r="A23" s="16"/>
      <c r="B23" s="28" t="s">
        <v>36</v>
      </c>
      <c r="C23" s="5">
        <v>18.0</v>
      </c>
      <c r="D23" s="5">
        <v>2.0</v>
      </c>
      <c r="E23" s="6">
        <f t="shared" si="5"/>
        <v>16</v>
      </c>
      <c r="F23" s="12"/>
    </row>
    <row r="24">
      <c r="A24" s="16"/>
      <c r="B24" s="28" t="s">
        <v>37</v>
      </c>
      <c r="C24" s="5">
        <v>23.0</v>
      </c>
      <c r="D24" s="5">
        <v>1.0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55</v>
      </c>
      <c r="F26" s="12"/>
    </row>
    <row r="27">
      <c r="A27" s="30" t="s">
        <v>38</v>
      </c>
      <c r="B27" s="24" t="s">
        <v>50</v>
      </c>
      <c r="C27" s="38">
        <v>32.0</v>
      </c>
      <c r="D27" s="5">
        <v>21.0</v>
      </c>
      <c r="E27" s="38">
        <f>C27-D27</f>
        <v>11</v>
      </c>
      <c r="F27" s="27" t="s">
        <v>46</v>
      </c>
    </row>
    <row r="28">
      <c r="A28" s="16"/>
      <c r="B28" s="36" t="s">
        <v>51</v>
      </c>
      <c r="C28" s="37">
        <v>100.0</v>
      </c>
      <c r="D28" s="37">
        <v>74.0</v>
      </c>
      <c r="E28" s="57">
        <f>C28</f>
        <v>100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111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1167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12.0</v>
      </c>
      <c r="E2" s="6">
        <f t="shared" ref="E2:E5" si="1">C2-D2</f>
        <v>96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49.0</v>
      </c>
      <c r="E4" s="6">
        <f t="shared" si="1"/>
        <v>257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488</v>
      </c>
    </row>
    <row r="8">
      <c r="A8" s="14" t="s">
        <v>21</v>
      </c>
      <c r="B8" s="15" t="s">
        <v>22</v>
      </c>
      <c r="C8" s="5">
        <v>35.0</v>
      </c>
      <c r="D8" s="5">
        <v>32.0</v>
      </c>
      <c r="E8" s="6">
        <f t="shared" ref="E8:E9" si="2">C8-D8</f>
        <v>3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7.0</v>
      </c>
      <c r="E11" s="6">
        <f t="shared" ref="E11:E12" si="3">C11-D11</f>
        <v>18</v>
      </c>
    </row>
    <row r="12">
      <c r="A12" s="16"/>
      <c r="B12" s="15" t="s">
        <v>25</v>
      </c>
      <c r="C12" s="5">
        <v>35.0</v>
      </c>
      <c r="D12" s="5">
        <v>14.0</v>
      </c>
      <c r="E12" s="6">
        <f t="shared" si="3"/>
        <v>21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71</v>
      </c>
    </row>
    <row r="15">
      <c r="A15" s="14" t="s">
        <v>27</v>
      </c>
      <c r="B15" s="15" t="s">
        <v>28</v>
      </c>
      <c r="C15" s="6">
        <v>236.0</v>
      </c>
      <c r="D15" s="5">
        <v>29.0</v>
      </c>
      <c r="E15" s="6">
        <f t="shared" ref="E15:E17" si="4">C15-D15</f>
        <v>207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32.0</v>
      </c>
      <c r="E17" s="6">
        <f t="shared" si="4"/>
        <v>106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313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4" si="5">C21-D21</f>
        <v>0</v>
      </c>
      <c r="F21" s="12"/>
    </row>
    <row r="22">
      <c r="A22" s="16"/>
      <c r="B22" s="28" t="s">
        <v>35</v>
      </c>
      <c r="C22" s="5">
        <v>23.0</v>
      </c>
      <c r="D22" s="5">
        <v>4.0</v>
      </c>
      <c r="E22" s="6">
        <f t="shared" si="5"/>
        <v>19</v>
      </c>
      <c r="F22" s="12"/>
    </row>
    <row r="23">
      <c r="A23" s="16"/>
      <c r="B23" s="28" t="s">
        <v>36</v>
      </c>
      <c r="C23" s="5">
        <v>18.0</v>
      </c>
      <c r="D23" s="5">
        <v>13.0</v>
      </c>
      <c r="E23" s="6">
        <f t="shared" si="5"/>
        <v>5</v>
      </c>
      <c r="F23" s="12"/>
    </row>
    <row r="24">
      <c r="A24" s="16"/>
      <c r="B24" s="28" t="s">
        <v>37</v>
      </c>
      <c r="C24" s="5">
        <v>23.0</v>
      </c>
      <c r="D24" s="5">
        <v>18.0</v>
      </c>
      <c r="E24" s="5">
        <f t="shared" si="5"/>
        <v>5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29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f>SUM(E27:E29)</f>
        <v>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944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49.0</v>
      </c>
      <c r="E4" s="6">
        <f t="shared" si="1"/>
        <v>257</v>
      </c>
    </row>
    <row r="5">
      <c r="A5" s="16"/>
      <c r="B5" s="15" t="s">
        <v>19</v>
      </c>
      <c r="C5" s="6">
        <v>35.0</v>
      </c>
      <c r="D5" s="5">
        <v>6.0</v>
      </c>
      <c r="E5" s="6">
        <f t="shared" si="1"/>
        <v>29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490</v>
      </c>
    </row>
    <row r="8">
      <c r="A8" s="14" t="s">
        <v>21</v>
      </c>
      <c r="B8" s="15" t="s">
        <v>22</v>
      </c>
      <c r="C8" s="5">
        <v>35.0</v>
      </c>
      <c r="D8" s="5">
        <v>13.0</v>
      </c>
      <c r="E8" s="6">
        <f t="shared" ref="E8:E9" si="2">C8-D8</f>
        <v>22</v>
      </c>
    </row>
    <row r="9">
      <c r="A9" s="16"/>
      <c r="B9" s="15" t="s">
        <v>23</v>
      </c>
      <c r="C9" s="5">
        <f>25</f>
        <v>25</v>
      </c>
      <c r="D9" s="5">
        <v>5.0</v>
      </c>
      <c r="E9" s="6">
        <f t="shared" si="2"/>
        <v>20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5.0</v>
      </c>
      <c r="E11" s="6">
        <f t="shared" ref="E11:E12" si="3">C11-D11</f>
        <v>20</v>
      </c>
    </row>
    <row r="12">
      <c r="A12" s="16"/>
      <c r="B12" s="15" t="s">
        <v>25</v>
      </c>
      <c r="C12" s="5">
        <v>35.0</v>
      </c>
      <c r="D12" s="5">
        <v>11.0</v>
      </c>
      <c r="E12" s="6">
        <f t="shared" si="3"/>
        <v>24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86</v>
      </c>
    </row>
    <row r="15">
      <c r="A15" s="14" t="s">
        <v>27</v>
      </c>
      <c r="B15" s="15" t="s">
        <v>28</v>
      </c>
      <c r="C15" s="6">
        <v>236.0</v>
      </c>
      <c r="D15" s="5">
        <v>65.0</v>
      </c>
      <c r="E15" s="6">
        <f t="shared" ref="E15:E17" si="4">C15-D15</f>
        <v>171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103.0</v>
      </c>
      <c r="E17" s="6">
        <f t="shared" si="4"/>
        <v>35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206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5">C21-D21</f>
        <v>2</v>
      </c>
      <c r="F21" s="12"/>
    </row>
    <row r="22">
      <c r="A22" s="16"/>
      <c r="B22" s="28" t="s">
        <v>35</v>
      </c>
      <c r="C22" s="5">
        <v>23.0</v>
      </c>
      <c r="D22" s="5">
        <v>21.0</v>
      </c>
      <c r="E22" s="6">
        <f t="shared" si="5"/>
        <v>2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v>23.0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852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1.0</v>
      </c>
      <c r="E3" s="6">
        <f t="shared" si="1"/>
        <v>103</v>
      </c>
    </row>
    <row r="4">
      <c r="A4" s="16"/>
      <c r="B4" s="15" t="s">
        <v>18</v>
      </c>
      <c r="C4" s="6">
        <v>306.0</v>
      </c>
      <c r="D4" s="5">
        <v>27.0</v>
      </c>
      <c r="E4" s="6">
        <f t="shared" si="1"/>
        <v>279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522</v>
      </c>
    </row>
    <row r="8">
      <c r="A8" s="14" t="s">
        <v>21</v>
      </c>
      <c r="B8" s="15" t="s">
        <v>22</v>
      </c>
      <c r="C8" s="5">
        <v>35.0</v>
      </c>
      <c r="D8" s="5">
        <v>6.0</v>
      </c>
      <c r="E8" s="6">
        <f t="shared" ref="E8:E9" si="2">C8-D8</f>
        <v>29</v>
      </c>
    </row>
    <row r="9">
      <c r="A9" s="16"/>
      <c r="B9" s="15" t="s">
        <v>23</v>
      </c>
      <c r="C9" s="5">
        <f>25</f>
        <v>25</v>
      </c>
      <c r="D9" s="5">
        <v>5.0</v>
      </c>
      <c r="E9" s="6">
        <f t="shared" si="2"/>
        <v>20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1.0</v>
      </c>
      <c r="E12" s="6">
        <f t="shared" si="3"/>
        <v>34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106</v>
      </c>
    </row>
    <row r="15">
      <c r="A15" s="14" t="s">
        <v>27</v>
      </c>
      <c r="B15" s="15" t="s">
        <v>28</v>
      </c>
      <c r="C15" s="6">
        <v>236.0</v>
      </c>
      <c r="D15" s="5">
        <v>30.0</v>
      </c>
      <c r="E15" s="6">
        <f t="shared" ref="E15:E17" si="4">C15-D15</f>
        <v>206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29.0</v>
      </c>
      <c r="E17" s="6">
        <f t="shared" si="4"/>
        <v>109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315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4.0</v>
      </c>
      <c r="E21" s="6">
        <f t="shared" ref="E21:E23" si="5">C21-D21</f>
        <v>14</v>
      </c>
      <c r="F21" s="12"/>
    </row>
    <row r="22">
      <c r="A22" s="16"/>
      <c r="B22" s="28" t="s">
        <v>35</v>
      </c>
      <c r="C22" s="5">
        <v>23.0</v>
      </c>
      <c r="D22" s="5">
        <v>3.0</v>
      </c>
      <c r="E22" s="6">
        <f t="shared" si="5"/>
        <v>20</v>
      </c>
      <c r="F22" s="12"/>
    </row>
    <row r="23">
      <c r="A23" s="16"/>
      <c r="B23" s="28" t="s">
        <v>36</v>
      </c>
      <c r="C23" s="5">
        <v>18.0</v>
      </c>
      <c r="D23" s="5">
        <v>6.0</v>
      </c>
      <c r="E23" s="6">
        <f t="shared" si="5"/>
        <v>12</v>
      </c>
      <c r="F23" s="12"/>
    </row>
    <row r="24">
      <c r="A24" s="16"/>
      <c r="B24" s="28" t="s">
        <v>37</v>
      </c>
      <c r="C24" s="5">
        <v>23.0</v>
      </c>
      <c r="D24" s="5">
        <v>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46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v>23.0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1055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5" si="1">C2-D2</f>
        <v>104</v>
      </c>
    </row>
    <row r="3">
      <c r="A3" s="16"/>
      <c r="B3" s="15" t="s">
        <v>17</v>
      </c>
      <c r="C3" s="6">
        <v>104.0</v>
      </c>
      <c r="D3" s="5">
        <v>6.0</v>
      </c>
      <c r="E3" s="6">
        <f t="shared" si="1"/>
        <v>98</v>
      </c>
    </row>
    <row r="4">
      <c r="A4" s="16"/>
      <c r="B4" s="15" t="s">
        <v>18</v>
      </c>
      <c r="C4" s="6">
        <v>306.0</v>
      </c>
      <c r="D4" s="5">
        <v>53.0</v>
      </c>
      <c r="E4" s="6">
        <f t="shared" si="1"/>
        <v>253</v>
      </c>
    </row>
    <row r="5">
      <c r="A5" s="16"/>
      <c r="B5" s="15" t="s">
        <v>19</v>
      </c>
      <c r="C5" s="6">
        <v>35.0</v>
      </c>
      <c r="D5" s="5">
        <v>7.0</v>
      </c>
      <c r="E5" s="6">
        <f t="shared" si="1"/>
        <v>28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483</v>
      </c>
    </row>
    <row r="8">
      <c r="A8" s="14" t="s">
        <v>21</v>
      </c>
      <c r="B8" s="15" t="s">
        <v>22</v>
      </c>
      <c r="C8" s="5">
        <v>35.0</v>
      </c>
      <c r="D8" s="5">
        <v>14.0</v>
      </c>
      <c r="E8" s="6">
        <f t="shared" ref="E8:E9" si="2">C8-D8</f>
        <v>21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1.0</v>
      </c>
      <c r="E11" s="6">
        <f t="shared" ref="E11:E12" si="3">C11-D11</f>
        <v>24</v>
      </c>
    </row>
    <row r="12">
      <c r="A12" s="16"/>
      <c r="B12" s="15" t="s">
        <v>25</v>
      </c>
      <c r="C12" s="5">
        <v>35.0</v>
      </c>
      <c r="D12" s="5">
        <v>9.0</v>
      </c>
      <c r="E12" s="6">
        <f t="shared" si="3"/>
        <v>26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99</v>
      </c>
    </row>
    <row r="15">
      <c r="A15" s="14" t="s">
        <v>27</v>
      </c>
      <c r="B15" s="15" t="s">
        <v>28</v>
      </c>
      <c r="C15" s="6">
        <v>236.0</v>
      </c>
      <c r="D15" s="5">
        <v>34.0</v>
      </c>
      <c r="E15" s="5">
        <f>C15-D15</f>
        <v>202</v>
      </c>
    </row>
    <row r="16">
      <c r="A16" s="16"/>
      <c r="B16" s="15" t="s">
        <v>29</v>
      </c>
      <c r="C16" s="5"/>
      <c r="D16" s="5"/>
      <c r="E16" s="6"/>
    </row>
    <row r="17">
      <c r="A17" s="16"/>
      <c r="B17" s="4" t="s">
        <v>30</v>
      </c>
      <c r="C17" s="6">
        <v>138.0</v>
      </c>
      <c r="D17" s="5">
        <v>57.0</v>
      </c>
      <c r="E17" s="6">
        <f>C17-D17</f>
        <v>81</v>
      </c>
    </row>
    <row r="18">
      <c r="A18" s="16"/>
      <c r="B18" s="24" t="s">
        <v>31</v>
      </c>
      <c r="C18" s="25"/>
      <c r="D18" s="26"/>
      <c r="E18" s="54"/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283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14.0</v>
      </c>
      <c r="E21" s="6">
        <f t="shared" ref="E21:E23" si="4">C21-D21</f>
        <v>4</v>
      </c>
      <c r="F21" s="12"/>
    </row>
    <row r="22">
      <c r="A22" s="16"/>
      <c r="B22" s="28" t="s">
        <v>35</v>
      </c>
      <c r="C22" s="5">
        <v>23.0</v>
      </c>
      <c r="D22" s="5">
        <v>13.0</v>
      </c>
      <c r="E22" s="6">
        <f t="shared" si="4"/>
        <v>10</v>
      </c>
      <c r="F22" s="12"/>
    </row>
    <row r="23">
      <c r="A23" s="16"/>
      <c r="B23" s="28" t="s">
        <v>36</v>
      </c>
      <c r="C23" s="5">
        <v>18.0</v>
      </c>
      <c r="D23" s="5">
        <v>15.0</v>
      </c>
      <c r="E23" s="6">
        <f t="shared" si="4"/>
        <v>3</v>
      </c>
      <c r="F23" s="12"/>
    </row>
    <row r="24">
      <c r="A24" s="16"/>
      <c r="B24" s="28" t="s">
        <v>37</v>
      </c>
      <c r="C24" s="5">
        <v>23.0</v>
      </c>
      <c r="D24" s="5">
        <v>15.0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17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/>
      <c r="D28" s="37"/>
      <c r="E28" s="57" t="str">
        <f>C28</f>
        <v/>
      </c>
    </row>
    <row r="29">
      <c r="A29" s="16"/>
      <c r="B29" s="39" t="s">
        <v>48</v>
      </c>
      <c r="C29" s="40"/>
      <c r="D29" s="40"/>
      <c r="E29" s="38"/>
    </row>
    <row r="30">
      <c r="A30" s="18"/>
      <c r="B30" s="41" t="s">
        <v>20</v>
      </c>
      <c r="C30" s="33"/>
      <c r="D30" s="34"/>
      <c r="E30" s="42">
        <v>23.0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>
        <v>2.0</v>
      </c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948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15.0</v>
      </c>
      <c r="E3" s="6">
        <f t="shared" si="1"/>
        <v>89</v>
      </c>
    </row>
    <row r="4">
      <c r="A4" s="16"/>
      <c r="B4" s="15" t="s">
        <v>18</v>
      </c>
      <c r="C4" s="6">
        <v>306.0</v>
      </c>
      <c r="D4" s="5">
        <v>68.0</v>
      </c>
      <c r="E4" s="6">
        <f t="shared" si="1"/>
        <v>238</v>
      </c>
    </row>
    <row r="5">
      <c r="A5" s="16"/>
      <c r="B5" s="15" t="s">
        <v>19</v>
      </c>
      <c r="C5" s="6">
        <v>35.0</v>
      </c>
      <c r="D5" s="5">
        <v>6.0</v>
      </c>
      <c r="E5" s="6">
        <f t="shared" si="1"/>
        <v>29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459</v>
      </c>
    </row>
    <row r="8">
      <c r="A8" s="14" t="s">
        <v>21</v>
      </c>
      <c r="B8" s="15" t="s">
        <v>22</v>
      </c>
      <c r="C8" s="5">
        <v>35.0</v>
      </c>
      <c r="D8" s="5">
        <v>7.0</v>
      </c>
      <c r="E8" s="6">
        <f t="shared" ref="E8:E9" si="2">C8-D8</f>
        <v>28</v>
      </c>
    </row>
    <row r="9">
      <c r="A9" s="16"/>
      <c r="B9" s="15" t="s">
        <v>23</v>
      </c>
      <c r="C9" s="5">
        <f>25</f>
        <v>25</v>
      </c>
      <c r="D9" s="5">
        <v>11.0</v>
      </c>
      <c r="E9" s="6">
        <f t="shared" si="2"/>
        <v>14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12.0</v>
      </c>
      <c r="E11" s="6">
        <f t="shared" ref="E11:E12" si="3">C11-D11</f>
        <v>13</v>
      </c>
    </row>
    <row r="12">
      <c r="A12" s="16"/>
      <c r="B12" s="15" t="s">
        <v>25</v>
      </c>
      <c r="C12" s="5">
        <v>35.0</v>
      </c>
      <c r="D12" s="5">
        <v>14.0</v>
      </c>
      <c r="E12" s="6">
        <f t="shared" si="3"/>
        <v>21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82</v>
      </c>
    </row>
    <row r="15">
      <c r="A15" s="14" t="s">
        <v>27</v>
      </c>
      <c r="B15" s="15" t="s">
        <v>28</v>
      </c>
      <c r="C15" s="6">
        <v>236.0</v>
      </c>
      <c r="D15" s="5">
        <v>58.0</v>
      </c>
      <c r="E15" s="6">
        <f t="shared" ref="E15:E17" si="4">C15-D15</f>
        <v>178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86.0</v>
      </c>
      <c r="E17" s="6">
        <f t="shared" si="4"/>
        <v>52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230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4" si="5">C21-D21</f>
        <v>2</v>
      </c>
      <c r="F21" s="12"/>
    </row>
    <row r="22">
      <c r="A22" s="16"/>
      <c r="B22" s="28" t="s">
        <v>35</v>
      </c>
      <c r="C22" s="5">
        <v>23.0</v>
      </c>
      <c r="D22" s="5">
        <v>17.0</v>
      </c>
      <c r="E22" s="6">
        <f t="shared" si="5"/>
        <v>6</v>
      </c>
      <c r="F22" s="12"/>
    </row>
    <row r="23">
      <c r="A23" s="16"/>
      <c r="B23" s="28" t="s">
        <v>36</v>
      </c>
      <c r="C23" s="5">
        <v>18.0</v>
      </c>
      <c r="D23" s="5">
        <v>16.0</v>
      </c>
      <c r="E23" s="6">
        <f t="shared" si="5"/>
        <v>2</v>
      </c>
      <c r="F23" s="12"/>
    </row>
    <row r="24">
      <c r="A24" s="16"/>
      <c r="B24" s="28" t="s">
        <v>37</v>
      </c>
      <c r="C24" s="5">
        <v>23.0</v>
      </c>
      <c r="D24" s="5">
        <v>18.0</v>
      </c>
      <c r="E24" s="5">
        <f t="shared" si="5"/>
        <v>5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15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v>23.0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>
        <v>2.0</v>
      </c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852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13.0</v>
      </c>
      <c r="E2" s="6">
        <f t="shared" ref="E2:E5" si="1">C2-D2</f>
        <v>95</v>
      </c>
    </row>
    <row r="3">
      <c r="A3" s="16"/>
      <c r="B3" s="15" t="s">
        <v>17</v>
      </c>
      <c r="C3" s="6">
        <v>104.0</v>
      </c>
      <c r="D3" s="5">
        <v>23.0</v>
      </c>
      <c r="E3" s="6">
        <f t="shared" si="1"/>
        <v>81</v>
      </c>
    </row>
    <row r="4">
      <c r="A4" s="16"/>
      <c r="B4" s="15" t="s">
        <v>18</v>
      </c>
      <c r="C4" s="6">
        <v>306.0</v>
      </c>
      <c r="D4" s="5">
        <v>72.0</v>
      </c>
      <c r="E4" s="6">
        <f t="shared" si="1"/>
        <v>234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>
        <v>6.0</v>
      </c>
      <c r="D6" s="5"/>
      <c r="E6" s="6">
        <f>C6</f>
        <v>6</v>
      </c>
    </row>
    <row r="7">
      <c r="A7" s="18"/>
      <c r="B7" s="19" t="s">
        <v>20</v>
      </c>
      <c r="C7" s="20"/>
      <c r="D7" s="21"/>
      <c r="E7" s="22">
        <f>SUM(E2:E6)</f>
        <v>451</v>
      </c>
    </row>
    <row r="8">
      <c r="A8" s="14" t="s">
        <v>21</v>
      </c>
      <c r="B8" s="15" t="s">
        <v>22</v>
      </c>
      <c r="C8" s="5">
        <v>35.0</v>
      </c>
      <c r="D8" s="5">
        <v>30.0</v>
      </c>
      <c r="E8" s="6">
        <f t="shared" ref="E8:E9" si="2">C8-D8</f>
        <v>5</v>
      </c>
    </row>
    <row r="9">
      <c r="A9" s="16"/>
      <c r="B9" s="15" t="s">
        <v>23</v>
      </c>
      <c r="C9" s="5">
        <f>25</f>
        <v>25</v>
      </c>
      <c r="D9" s="5">
        <v>21.0</v>
      </c>
      <c r="E9" s="6">
        <f t="shared" si="2"/>
        <v>4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20.0</v>
      </c>
      <c r="E11" s="6">
        <f t="shared" ref="E11:E12" si="3">C11-D11</f>
        <v>5</v>
      </c>
    </row>
    <row r="12">
      <c r="A12" s="16"/>
      <c r="B12" s="15" t="s">
        <v>25</v>
      </c>
      <c r="C12" s="5">
        <v>35.0</v>
      </c>
      <c r="D12" s="5">
        <v>27.0</v>
      </c>
      <c r="E12" s="6">
        <f t="shared" si="3"/>
        <v>8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22</v>
      </c>
    </row>
    <row r="15">
      <c r="A15" s="14" t="s">
        <v>27</v>
      </c>
      <c r="B15" s="15" t="s">
        <v>28</v>
      </c>
      <c r="C15" s="6">
        <v>236.0</v>
      </c>
      <c r="D15" s="5">
        <v>112.0</v>
      </c>
      <c r="E15" s="6">
        <f>C15-D15</f>
        <v>124</v>
      </c>
    </row>
    <row r="16">
      <c r="A16" s="16"/>
      <c r="B16" s="15" t="s">
        <v>29</v>
      </c>
      <c r="C16" s="5"/>
      <c r="D16" s="5"/>
      <c r="E16" s="6"/>
    </row>
    <row r="17">
      <c r="A17" s="16"/>
      <c r="B17" s="4" t="s">
        <v>30</v>
      </c>
      <c r="C17" s="6">
        <v>138.0</v>
      </c>
      <c r="D17" s="5">
        <v>106.0</v>
      </c>
      <c r="E17" s="6">
        <f>C17-D17</f>
        <v>32</v>
      </c>
    </row>
    <row r="18">
      <c r="A18" s="16"/>
      <c r="B18" s="24" t="s">
        <v>31</v>
      </c>
      <c r="C18" s="25"/>
      <c r="D18" s="26"/>
      <c r="E18" s="54"/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156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4">C21-D21</f>
        <v>2</v>
      </c>
      <c r="F21" s="12"/>
    </row>
    <row r="22">
      <c r="A22" s="16"/>
      <c r="B22" s="28" t="s">
        <v>35</v>
      </c>
      <c r="C22" s="5">
        <v>23.0</v>
      </c>
      <c r="D22" s="5">
        <v>19.0</v>
      </c>
      <c r="E22" s="6">
        <f t="shared" si="4"/>
        <v>4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4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6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41.0</v>
      </c>
      <c r="D29" s="40"/>
      <c r="E29" s="38"/>
    </row>
    <row r="30">
      <c r="A30" s="18"/>
      <c r="B30" s="41" t="s">
        <v>20</v>
      </c>
      <c r="C30" s="33"/>
      <c r="D30" s="34"/>
      <c r="E30" s="42">
        <v>23.0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701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21.0</v>
      </c>
      <c r="E2" s="6">
        <f t="shared" ref="E2:E5" si="1">C2-D2</f>
        <v>87</v>
      </c>
    </row>
    <row r="3">
      <c r="A3" s="16"/>
      <c r="B3" s="15" t="s">
        <v>17</v>
      </c>
      <c r="C3" s="6">
        <v>104.0</v>
      </c>
      <c r="D3" s="5">
        <v>5.0</v>
      </c>
      <c r="E3" s="6">
        <f t="shared" si="1"/>
        <v>99</v>
      </c>
    </row>
    <row r="4">
      <c r="A4" s="16"/>
      <c r="B4" s="15" t="s">
        <v>18</v>
      </c>
      <c r="C4" s="6">
        <v>306.0</v>
      </c>
      <c r="D4" s="5">
        <v>53.0</v>
      </c>
      <c r="E4" s="6">
        <f t="shared" si="1"/>
        <v>253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473</v>
      </c>
    </row>
    <row r="8">
      <c r="A8" s="14" t="s">
        <v>21</v>
      </c>
      <c r="B8" s="15" t="s">
        <v>22</v>
      </c>
      <c r="C8" s="5">
        <v>35.0</v>
      </c>
      <c r="D8" s="5">
        <v>13.0</v>
      </c>
      <c r="E8" s="6">
        <f t="shared" ref="E8:E9" si="2">C8-D8</f>
        <v>22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7.0</v>
      </c>
      <c r="E11" s="6">
        <f t="shared" ref="E11:E12" si="3">C11-D11</f>
        <v>18</v>
      </c>
    </row>
    <row r="12">
      <c r="A12" s="16"/>
      <c r="B12" s="15" t="s">
        <v>25</v>
      </c>
      <c r="C12" s="5">
        <v>35.0</v>
      </c>
      <c r="D12" s="5">
        <v>2.0</v>
      </c>
      <c r="E12" s="6">
        <f t="shared" si="3"/>
        <v>33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88</v>
      </c>
    </row>
    <row r="15">
      <c r="A15" s="14" t="s">
        <v>27</v>
      </c>
      <c r="B15" s="15" t="s">
        <v>28</v>
      </c>
      <c r="C15" s="6">
        <v>236.0</v>
      </c>
      <c r="D15" s="5">
        <v>79.0</v>
      </c>
      <c r="E15" s="6">
        <f t="shared" ref="E15:E17" si="4">C15-D15</f>
        <v>157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65.0</v>
      </c>
      <c r="E17" s="6">
        <f t="shared" si="4"/>
        <v>73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230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19.0</v>
      </c>
      <c r="E22" s="6">
        <f t="shared" si="5"/>
        <v>4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18.0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23.0</v>
      </c>
      <c r="D29" s="40"/>
      <c r="E29" s="38"/>
    </row>
    <row r="30">
      <c r="A30" s="18"/>
      <c r="B30" s="41" t="s">
        <v>20</v>
      </c>
      <c r="C30" s="33"/>
      <c r="D30" s="34"/>
      <c r="E30" s="42">
        <v>23.0</v>
      </c>
    </row>
    <row r="31">
      <c r="A31" s="30" t="s">
        <v>49</v>
      </c>
      <c r="B31" s="4" t="s">
        <v>41</v>
      </c>
      <c r="C31" s="5">
        <v>19.0</v>
      </c>
      <c r="D31" s="5"/>
      <c r="E31" s="6">
        <f>C31-D31</f>
        <v>19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19</v>
      </c>
    </row>
    <row r="34">
      <c r="A34" s="30" t="s">
        <v>40</v>
      </c>
      <c r="B34" s="4" t="s">
        <v>41</v>
      </c>
      <c r="C34" s="5">
        <v>24.0</v>
      </c>
      <c r="D34" s="5">
        <v>24.0</v>
      </c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861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2.0</v>
      </c>
      <c r="E3" s="6">
        <f t="shared" si="1"/>
        <v>102</v>
      </c>
    </row>
    <row r="4">
      <c r="A4" s="16"/>
      <c r="B4" s="15" t="s">
        <v>18</v>
      </c>
      <c r="C4" s="6">
        <v>306.0</v>
      </c>
      <c r="D4" s="5">
        <v>41.0</v>
      </c>
      <c r="E4" s="6">
        <f t="shared" si="1"/>
        <v>265</v>
      </c>
    </row>
    <row r="5">
      <c r="A5" s="16"/>
      <c r="B5" s="15" t="s">
        <v>19</v>
      </c>
      <c r="C5" s="6">
        <v>35.0</v>
      </c>
      <c r="D5" s="5">
        <v>6.0</v>
      </c>
      <c r="E5" s="6">
        <f t="shared" si="1"/>
        <v>29</v>
      </c>
    </row>
    <row r="6">
      <c r="A6" s="16"/>
      <c r="B6" s="15" t="s">
        <v>43</v>
      </c>
      <c r="C6" s="17">
        <v>5.0</v>
      </c>
      <c r="D6" s="5"/>
      <c r="E6" s="6">
        <f>C6</f>
        <v>5</v>
      </c>
    </row>
    <row r="7">
      <c r="A7" s="18"/>
      <c r="B7" s="19" t="s">
        <v>20</v>
      </c>
      <c r="C7" s="20"/>
      <c r="D7" s="21"/>
      <c r="E7" s="22">
        <f>SUM(E2:E6)</f>
        <v>504</v>
      </c>
    </row>
    <row r="8">
      <c r="A8" s="14" t="s">
        <v>21</v>
      </c>
      <c r="B8" s="15" t="s">
        <v>22</v>
      </c>
      <c r="C8" s="5">
        <v>35.0</v>
      </c>
      <c r="D8" s="5">
        <v>25.0</v>
      </c>
      <c r="E8" s="6">
        <f t="shared" ref="E8:E9" si="2">C8-D8</f>
        <v>10</v>
      </c>
    </row>
    <row r="9">
      <c r="A9" s="16"/>
      <c r="B9" s="15" t="s">
        <v>23</v>
      </c>
      <c r="C9" s="5">
        <f>25</f>
        <v>25</v>
      </c>
      <c r="D9" s="5">
        <v>13.0</v>
      </c>
      <c r="E9" s="6">
        <f t="shared" si="2"/>
        <v>12</v>
      </c>
    </row>
    <row r="10">
      <c r="A10" s="16"/>
      <c r="B10" s="4" t="s">
        <v>44</v>
      </c>
      <c r="C10" s="5">
        <v>4.0</v>
      </c>
      <c r="D10" s="5"/>
      <c r="E10" s="54">
        <f>C10</f>
        <v>4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14.0</v>
      </c>
      <c r="E11" s="6">
        <f t="shared" ref="E11:E12" si="3">C11-D11</f>
        <v>11</v>
      </c>
    </row>
    <row r="12">
      <c r="A12" s="16"/>
      <c r="B12" s="15" t="s">
        <v>25</v>
      </c>
      <c r="C12" s="5">
        <v>35.0</v>
      </c>
      <c r="D12" s="5">
        <v>12.0</v>
      </c>
      <c r="E12" s="6">
        <f t="shared" si="3"/>
        <v>23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60</v>
      </c>
    </row>
    <row r="15">
      <c r="A15" s="14" t="s">
        <v>27</v>
      </c>
      <c r="B15" s="15" t="s">
        <v>28</v>
      </c>
      <c r="C15" s="6">
        <v>236.0</v>
      </c>
      <c r="D15" s="5">
        <v>94.0</v>
      </c>
      <c r="E15" s="6">
        <f t="shared" ref="E15:E17" si="4">C15-D15</f>
        <v>142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97.0</v>
      </c>
      <c r="E17" s="6">
        <f t="shared" si="4"/>
        <v>41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183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23.0</v>
      </c>
      <c r="E22" s="6">
        <f t="shared" si="5"/>
        <v>0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22.0</v>
      </c>
      <c r="D31" s="5"/>
      <c r="E31" s="6">
        <f>C31-D31</f>
        <v>22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22</v>
      </c>
    </row>
    <row r="34">
      <c r="A34" s="30" t="s">
        <v>40</v>
      </c>
      <c r="B34" s="4" t="s">
        <v>41</v>
      </c>
      <c r="C34" s="5">
        <v>24.0</v>
      </c>
      <c r="D34" s="5">
        <v>24.0</v>
      </c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793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6.0</v>
      </c>
      <c r="E3" s="6">
        <f t="shared" si="1"/>
        <v>98</v>
      </c>
    </row>
    <row r="4">
      <c r="A4" s="16"/>
      <c r="B4" s="15" t="s">
        <v>18</v>
      </c>
      <c r="C4" s="6">
        <v>306.0</v>
      </c>
      <c r="D4" s="5">
        <v>59.0</v>
      </c>
      <c r="E4" s="6">
        <f t="shared" si="1"/>
        <v>247</v>
      </c>
    </row>
    <row r="5">
      <c r="A5" s="16"/>
      <c r="B5" s="15" t="s">
        <v>19</v>
      </c>
      <c r="C5" s="6">
        <v>35.0</v>
      </c>
      <c r="D5" s="5">
        <v>8.0</v>
      </c>
      <c r="E5" s="6">
        <f t="shared" si="1"/>
        <v>27</v>
      </c>
    </row>
    <row r="6">
      <c r="A6" s="16"/>
      <c r="B6" s="15" t="s">
        <v>43</v>
      </c>
      <c r="C6" s="17">
        <v>4.0</v>
      </c>
      <c r="D6" s="5"/>
      <c r="E6" s="6">
        <f>C6</f>
        <v>4</v>
      </c>
    </row>
    <row r="7">
      <c r="A7" s="18"/>
      <c r="B7" s="19" t="s">
        <v>20</v>
      </c>
      <c r="C7" s="20"/>
      <c r="D7" s="21"/>
      <c r="E7" s="22">
        <f>SUM(E2:E6)</f>
        <v>479</v>
      </c>
    </row>
    <row r="8">
      <c r="A8" s="14" t="s">
        <v>21</v>
      </c>
      <c r="B8" s="15" t="s">
        <v>22</v>
      </c>
      <c r="C8" s="5">
        <v>35.0</v>
      </c>
      <c r="D8" s="5">
        <v>15.0</v>
      </c>
      <c r="E8" s="6">
        <f t="shared" ref="E8:E9" si="2">C8-D8</f>
        <v>20</v>
      </c>
    </row>
    <row r="9">
      <c r="A9" s="16"/>
      <c r="B9" s="15" t="s">
        <v>23</v>
      </c>
      <c r="C9" s="5">
        <f>25</f>
        <v>25</v>
      </c>
      <c r="D9" s="5">
        <v>9.0</v>
      </c>
      <c r="E9" s="6">
        <f t="shared" si="2"/>
        <v>16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12.0</v>
      </c>
      <c r="E11" s="6">
        <f t="shared" ref="E11:E12" si="3">C11-D11</f>
        <v>13</v>
      </c>
    </row>
    <row r="12">
      <c r="A12" s="16"/>
      <c r="B12" s="15" t="s">
        <v>25</v>
      </c>
      <c r="C12" s="5">
        <v>35.0</v>
      </c>
      <c r="D12" s="5">
        <v>16.0</v>
      </c>
      <c r="E12" s="6">
        <f t="shared" si="3"/>
        <v>19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74</v>
      </c>
    </row>
    <row r="15">
      <c r="A15" s="14" t="s">
        <v>27</v>
      </c>
      <c r="B15" s="15" t="s">
        <v>28</v>
      </c>
      <c r="C15" s="6">
        <v>236.0</v>
      </c>
      <c r="D15" s="5">
        <v>72.0</v>
      </c>
      <c r="E15" s="6">
        <f t="shared" ref="E15:E17" si="4">C15-D15</f>
        <v>164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88.0</v>
      </c>
      <c r="E17" s="6">
        <f t="shared" si="4"/>
        <v>50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214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23.0</v>
      </c>
      <c r="E22" s="6">
        <f t="shared" si="5"/>
        <v>0</v>
      </c>
      <c r="F22" s="12"/>
    </row>
    <row r="23">
      <c r="A23" s="16"/>
      <c r="B23" s="28" t="s">
        <v>36</v>
      </c>
      <c r="C23" s="5">
        <v>18.0</v>
      </c>
      <c r="D23" s="5">
        <v>16.0</v>
      </c>
      <c r="E23" s="6">
        <f t="shared" si="5"/>
        <v>2</v>
      </c>
      <c r="F23" s="12"/>
    </row>
    <row r="24">
      <c r="A24" s="16"/>
      <c r="B24" s="28" t="s">
        <v>37</v>
      </c>
      <c r="C24" s="5">
        <v>23.0</v>
      </c>
      <c r="D24" s="5">
        <v>19.0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20.0</v>
      </c>
      <c r="D31" s="5"/>
      <c r="E31" s="6">
        <f>C31-D31</f>
        <v>20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20</v>
      </c>
    </row>
    <row r="34">
      <c r="A34" s="30" t="s">
        <v>40</v>
      </c>
      <c r="B34" s="4" t="s">
        <v>41</v>
      </c>
      <c r="C34" s="5">
        <v>24.0</v>
      </c>
      <c r="D34" s="5">
        <v>24.0</v>
      </c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813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8.0</v>
      </c>
      <c r="E2" s="6">
        <f t="shared" ref="E2:E5" si="1">C2-D2</f>
        <v>100</v>
      </c>
    </row>
    <row r="3">
      <c r="A3" s="16"/>
      <c r="B3" s="15" t="s">
        <v>17</v>
      </c>
      <c r="C3" s="6">
        <v>104.0</v>
      </c>
      <c r="D3" s="5">
        <v>11.0</v>
      </c>
      <c r="E3" s="6">
        <f t="shared" si="1"/>
        <v>93</v>
      </c>
    </row>
    <row r="4">
      <c r="A4" s="16"/>
      <c r="B4" s="15" t="s">
        <v>18</v>
      </c>
      <c r="C4" s="6">
        <v>306.0</v>
      </c>
      <c r="D4" s="5">
        <v>78.0</v>
      </c>
      <c r="E4" s="6">
        <f t="shared" si="1"/>
        <v>228</v>
      </c>
    </row>
    <row r="5">
      <c r="A5" s="16"/>
      <c r="B5" s="15" t="s">
        <v>19</v>
      </c>
      <c r="C5" s="6">
        <v>35.0</v>
      </c>
      <c r="D5" s="5">
        <v>8.0</v>
      </c>
      <c r="E5" s="6">
        <f t="shared" si="1"/>
        <v>27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448</v>
      </c>
    </row>
    <row r="8">
      <c r="A8" s="14" t="s">
        <v>21</v>
      </c>
      <c r="B8" s="15" t="s">
        <v>22</v>
      </c>
      <c r="C8" s="5">
        <v>35.0</v>
      </c>
      <c r="D8" s="5">
        <v>10.0</v>
      </c>
      <c r="E8" s="6">
        <f t="shared" ref="E8:E9" si="2">C8-D8</f>
        <v>25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4" t="s">
        <v>44</v>
      </c>
      <c r="C10" s="5">
        <v>12.0</v>
      </c>
      <c r="D10" s="5"/>
      <c r="E10" s="54">
        <f>C10</f>
        <v>12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10.0</v>
      </c>
      <c r="E12" s="6">
        <f t="shared" si="3"/>
        <v>25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108</v>
      </c>
    </row>
    <row r="15">
      <c r="A15" s="14" t="s">
        <v>27</v>
      </c>
      <c r="B15" s="15" t="s">
        <v>28</v>
      </c>
      <c r="C15" s="6">
        <v>236.0</v>
      </c>
      <c r="D15" s="5">
        <v>108.0</v>
      </c>
      <c r="E15" s="6">
        <f t="shared" ref="E15:E17" si="4">C15-D15</f>
        <v>128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93.0</v>
      </c>
      <c r="E17" s="6">
        <f t="shared" si="4"/>
        <v>45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173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5">C21-D21</f>
        <v>2</v>
      </c>
      <c r="F21" s="12"/>
    </row>
    <row r="22">
      <c r="A22" s="16"/>
      <c r="B22" s="28" t="s">
        <v>35</v>
      </c>
      <c r="C22" s="5">
        <v>23.0</v>
      </c>
      <c r="D22" s="5">
        <v>21.0</v>
      </c>
      <c r="E22" s="6">
        <f t="shared" si="5"/>
        <v>2</v>
      </c>
      <c r="F22" s="12"/>
    </row>
    <row r="23">
      <c r="A23" s="16"/>
      <c r="B23" s="28" t="s">
        <v>36</v>
      </c>
      <c r="C23" s="5">
        <v>18.0</v>
      </c>
      <c r="D23" s="5">
        <v>14.0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/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8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26.0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23.0</v>
      </c>
      <c r="D31" s="5"/>
      <c r="E31" s="6">
        <f>C31-D31</f>
        <v>23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23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784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8.0</v>
      </c>
      <c r="E2" s="6">
        <f t="shared" ref="E2:E5" si="1">C2-D2</f>
        <v>100</v>
      </c>
    </row>
    <row r="3">
      <c r="A3" s="16"/>
      <c r="B3" s="15" t="s">
        <v>17</v>
      </c>
      <c r="C3" s="6">
        <v>104.0</v>
      </c>
      <c r="D3" s="5">
        <v>13.0</v>
      </c>
      <c r="E3" s="6">
        <f t="shared" si="1"/>
        <v>91</v>
      </c>
    </row>
    <row r="4">
      <c r="A4" s="16"/>
      <c r="B4" s="15" t="s">
        <v>18</v>
      </c>
      <c r="C4" s="6">
        <v>306.0</v>
      </c>
      <c r="D4" s="5">
        <v>100.0</v>
      </c>
      <c r="E4" s="6">
        <f t="shared" si="1"/>
        <v>206</v>
      </c>
    </row>
    <row r="5">
      <c r="A5" s="16"/>
      <c r="B5" s="15" t="s">
        <v>19</v>
      </c>
      <c r="C5" s="6">
        <v>35.0</v>
      </c>
      <c r="D5" s="5">
        <v>12.0</v>
      </c>
      <c r="E5" s="6">
        <f t="shared" si="1"/>
        <v>23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420</v>
      </c>
    </row>
    <row r="8">
      <c r="A8" s="14" t="s">
        <v>21</v>
      </c>
      <c r="B8" s="15" t="s">
        <v>22</v>
      </c>
      <c r="C8" s="5">
        <v>35.0</v>
      </c>
      <c r="D8" s="5">
        <v>12.0</v>
      </c>
      <c r="E8" s="6">
        <f t="shared" ref="E8:E9" si="2">C8-D8</f>
        <v>23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>
        <v>11.0</v>
      </c>
      <c r="D10" s="5"/>
      <c r="E10" s="54">
        <f>C10</f>
        <v>11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7.0</v>
      </c>
      <c r="E11" s="6">
        <f t="shared" ref="E11:E12" si="3">C11-D11</f>
        <v>18</v>
      </c>
    </row>
    <row r="12">
      <c r="A12" s="16"/>
      <c r="B12" s="15" t="s">
        <v>25</v>
      </c>
      <c r="C12" s="5">
        <v>35.0</v>
      </c>
      <c r="D12" s="5">
        <v>12.0</v>
      </c>
      <c r="E12" s="6">
        <f t="shared" si="3"/>
        <v>23</v>
      </c>
    </row>
    <row r="13">
      <c r="A13" s="16"/>
      <c r="B13" s="15" t="s">
        <v>43</v>
      </c>
      <c r="C13" s="17">
        <v>4.0</v>
      </c>
      <c r="D13" s="5"/>
      <c r="E13" s="5">
        <f>C13</f>
        <v>4</v>
      </c>
    </row>
    <row r="14">
      <c r="A14" s="18"/>
      <c r="B14" s="23" t="s">
        <v>26</v>
      </c>
      <c r="C14" s="20"/>
      <c r="D14" s="21"/>
      <c r="E14" s="22">
        <f>SUM(E8:E13)</f>
        <v>97</v>
      </c>
    </row>
    <row r="15">
      <c r="A15" s="14" t="s">
        <v>27</v>
      </c>
      <c r="B15" s="15" t="s">
        <v>28</v>
      </c>
      <c r="C15" s="6">
        <v>236.0</v>
      </c>
      <c r="D15" s="5">
        <v>127.0</v>
      </c>
      <c r="E15" s="6">
        <f t="shared" ref="E15:E17" si="4">C15-D15</f>
        <v>109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108.0</v>
      </c>
      <c r="E17" s="6">
        <f t="shared" si="4"/>
        <v>30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>
        <v>1.0</v>
      </c>
      <c r="D19" s="26"/>
      <c r="E19" s="31">
        <f>C19</f>
        <v>1</v>
      </c>
      <c r="F19" s="12"/>
    </row>
    <row r="20">
      <c r="A20" s="18"/>
      <c r="B20" s="23" t="s">
        <v>32</v>
      </c>
      <c r="C20" s="20"/>
      <c r="D20" s="21"/>
      <c r="E20" s="22">
        <f>SUM(E15:E19)</f>
        <v>140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17.0</v>
      </c>
      <c r="E21" s="6">
        <f t="shared" ref="E21:E23" si="5">C21-D21</f>
        <v>1</v>
      </c>
      <c r="F21" s="12"/>
    </row>
    <row r="22">
      <c r="A22" s="16"/>
      <c r="B22" s="28" t="s">
        <v>35</v>
      </c>
      <c r="C22" s="5">
        <v>23.0</v>
      </c>
      <c r="D22" s="5">
        <v>21.0</v>
      </c>
      <c r="E22" s="6">
        <f t="shared" si="5"/>
        <v>2</v>
      </c>
      <c r="F22" s="12"/>
    </row>
    <row r="23">
      <c r="A23" s="16"/>
      <c r="B23" s="28" t="s">
        <v>36</v>
      </c>
      <c r="C23" s="5">
        <v>18.0</v>
      </c>
      <c r="D23" s="5">
        <v>17.0</v>
      </c>
      <c r="E23" s="6">
        <f t="shared" si="5"/>
        <v>1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42.0</v>
      </c>
      <c r="D29" s="40"/>
      <c r="E29" s="38">
        <f>C29-D29</f>
        <v>42</v>
      </c>
    </row>
    <row r="30">
      <c r="A30" s="18"/>
      <c r="B30" s="41" t="s">
        <v>20</v>
      </c>
      <c r="C30" s="33"/>
      <c r="D30" s="34"/>
      <c r="E30" s="56">
        <f>SUM(E27:E29)</f>
        <v>42</v>
      </c>
    </row>
    <row r="31">
      <c r="A31" s="30" t="s">
        <v>49</v>
      </c>
      <c r="B31" s="4" t="s">
        <v>41</v>
      </c>
      <c r="C31" s="5">
        <v>24.0</v>
      </c>
      <c r="D31" s="5"/>
      <c r="E31" s="6">
        <f>C31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24.0</v>
      </c>
      <c r="D34" s="5"/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751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36.0</v>
      </c>
      <c r="E2" s="6">
        <f t="shared" ref="E2:E5" si="1">C2-D2</f>
        <v>72</v>
      </c>
    </row>
    <row r="3">
      <c r="A3" s="16"/>
      <c r="B3" s="15" t="s">
        <v>17</v>
      </c>
      <c r="C3" s="6">
        <v>104.0</v>
      </c>
      <c r="D3" s="5">
        <v>33.0</v>
      </c>
      <c r="E3" s="6">
        <f t="shared" si="1"/>
        <v>71</v>
      </c>
    </row>
    <row r="4">
      <c r="A4" s="16"/>
      <c r="B4" s="15" t="s">
        <v>18</v>
      </c>
      <c r="C4" s="6">
        <v>306.0</v>
      </c>
      <c r="D4" s="5">
        <v>125.0</v>
      </c>
      <c r="E4" s="6">
        <f t="shared" si="1"/>
        <v>181</v>
      </c>
    </row>
    <row r="5">
      <c r="A5" s="16"/>
      <c r="B5" s="15" t="s">
        <v>19</v>
      </c>
      <c r="C5" s="6">
        <v>35.0</v>
      </c>
      <c r="D5" s="5">
        <v>20.0</v>
      </c>
      <c r="E5" s="6">
        <f t="shared" si="1"/>
        <v>15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339</v>
      </c>
    </row>
    <row r="8">
      <c r="A8" s="14" t="s">
        <v>21</v>
      </c>
      <c r="B8" s="15" t="s">
        <v>22</v>
      </c>
      <c r="C8" s="5">
        <v>35.0</v>
      </c>
      <c r="D8" s="5">
        <v>28.0</v>
      </c>
      <c r="E8" s="6">
        <f t="shared" ref="E8:E9" si="2">C8-D8</f>
        <v>7</v>
      </c>
    </row>
    <row r="9">
      <c r="A9" s="16"/>
      <c r="B9" s="15" t="s">
        <v>23</v>
      </c>
      <c r="C9" s="5">
        <f>25</f>
        <v>25</v>
      </c>
      <c r="D9" s="5">
        <v>12.0</v>
      </c>
      <c r="E9" s="6">
        <f t="shared" si="2"/>
        <v>13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9.0</v>
      </c>
      <c r="E11" s="6">
        <f t="shared" ref="E11:E12" si="3">C11-D11</f>
        <v>16</v>
      </c>
    </row>
    <row r="12">
      <c r="A12" s="16"/>
      <c r="B12" s="15" t="s">
        <v>25</v>
      </c>
      <c r="C12" s="5">
        <v>35.0</v>
      </c>
      <c r="D12" s="5">
        <v>17.0</v>
      </c>
      <c r="E12" s="6">
        <f t="shared" si="3"/>
        <v>18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23" t="s">
        <v>26</v>
      </c>
      <c r="C14" s="20"/>
      <c r="D14" s="21"/>
      <c r="E14" s="22">
        <f>SUM(E8:E13)</f>
        <v>60</v>
      </c>
    </row>
    <row r="15">
      <c r="A15" s="14" t="s">
        <v>27</v>
      </c>
      <c r="B15" s="15" t="s">
        <v>28</v>
      </c>
      <c r="C15" s="6">
        <v>236.0</v>
      </c>
      <c r="D15" s="5">
        <v>182.0</v>
      </c>
      <c r="E15" s="6">
        <f t="shared" ref="E15:E17" si="4">C15-D15</f>
        <v>54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132.0</v>
      </c>
      <c r="E17" s="6">
        <f t="shared" si="4"/>
        <v>6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60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23.0</v>
      </c>
      <c r="E22" s="6">
        <f t="shared" si="5"/>
        <v>0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21.0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0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24.0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459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7.0</v>
      </c>
      <c r="E2" s="6">
        <f t="shared" ref="E2:E5" si="1">C2-D2</f>
        <v>101</v>
      </c>
    </row>
    <row r="3">
      <c r="A3" s="16"/>
      <c r="B3" s="15" t="s">
        <v>17</v>
      </c>
      <c r="C3" s="6">
        <v>104.0</v>
      </c>
      <c r="D3" s="5">
        <v>7.0</v>
      </c>
      <c r="E3" s="6">
        <f t="shared" si="1"/>
        <v>97</v>
      </c>
    </row>
    <row r="4">
      <c r="A4" s="16"/>
      <c r="B4" s="15" t="s">
        <v>18</v>
      </c>
      <c r="C4" s="6">
        <v>306.0</v>
      </c>
      <c r="D4" s="5">
        <v>61.0</v>
      </c>
      <c r="E4" s="6">
        <f t="shared" si="1"/>
        <v>245</v>
      </c>
    </row>
    <row r="5">
      <c r="A5" s="16"/>
      <c r="B5" s="15" t="s">
        <v>19</v>
      </c>
      <c r="C5" s="6">
        <v>35.0</v>
      </c>
      <c r="D5" s="5">
        <v>8.0</v>
      </c>
      <c r="E5" s="6">
        <f t="shared" si="1"/>
        <v>27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470</v>
      </c>
    </row>
    <row r="8">
      <c r="A8" s="14" t="s">
        <v>21</v>
      </c>
      <c r="B8" s="15" t="s">
        <v>22</v>
      </c>
      <c r="C8" s="5">
        <v>35.0</v>
      </c>
      <c r="D8" s="5">
        <v>17.0</v>
      </c>
      <c r="E8" s="6">
        <f t="shared" ref="E8:E9" si="2">C8-D8</f>
        <v>18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/>
      <c r="D10" s="5">
        <v>1.0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15.0</v>
      </c>
      <c r="E11" s="6">
        <f t="shared" ref="E11:E12" si="3">C11-D11</f>
        <v>10</v>
      </c>
    </row>
    <row r="12">
      <c r="A12" s="16"/>
      <c r="B12" s="15" t="s">
        <v>25</v>
      </c>
      <c r="C12" s="5">
        <v>35.0</v>
      </c>
      <c r="D12" s="5">
        <v>17.0</v>
      </c>
      <c r="E12" s="6">
        <f t="shared" si="3"/>
        <v>18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64</v>
      </c>
    </row>
    <row r="15">
      <c r="A15" s="14" t="s">
        <v>27</v>
      </c>
      <c r="B15" s="15" t="s">
        <v>28</v>
      </c>
      <c r="C15" s="6">
        <v>236.0</v>
      </c>
      <c r="D15" s="5">
        <v>115.0</v>
      </c>
      <c r="E15" s="6">
        <f t="shared" ref="E15:E17" si="4">C15-D15</f>
        <v>121</v>
      </c>
    </row>
    <row r="16">
      <c r="A16" s="16"/>
      <c r="B16" s="15" t="s">
        <v>29</v>
      </c>
      <c r="C16" s="5"/>
      <c r="D16" s="5">
        <v>4.0</v>
      </c>
      <c r="E16" s="6">
        <f t="shared" si="4"/>
        <v>-4</v>
      </c>
    </row>
    <row r="17">
      <c r="A17" s="16"/>
      <c r="B17" s="4" t="s">
        <v>30</v>
      </c>
      <c r="C17" s="6">
        <v>138.0</v>
      </c>
      <c r="D17" s="5">
        <v>111.0</v>
      </c>
      <c r="E17" s="6">
        <f t="shared" si="4"/>
        <v>27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144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16.0</v>
      </c>
      <c r="E21" s="6">
        <f t="shared" ref="E21:E23" si="5">C21-D21</f>
        <v>2</v>
      </c>
      <c r="F21" s="12"/>
    </row>
    <row r="22">
      <c r="A22" s="16"/>
      <c r="B22" s="28" t="s">
        <v>35</v>
      </c>
      <c r="C22" s="5">
        <v>23.0</v>
      </c>
      <c r="D22" s="5">
        <v>19.0</v>
      </c>
      <c r="E22" s="6">
        <f t="shared" si="5"/>
        <v>4</v>
      </c>
      <c r="F22" s="12"/>
    </row>
    <row r="23">
      <c r="A23" s="16"/>
      <c r="B23" s="28" t="s">
        <v>36</v>
      </c>
      <c r="C23" s="5">
        <v>18.0</v>
      </c>
      <c r="D23" s="5">
        <v>16.0</v>
      </c>
      <c r="E23" s="6">
        <f t="shared" si="5"/>
        <v>2</v>
      </c>
      <c r="F23" s="12"/>
    </row>
    <row r="24">
      <c r="A24" s="16"/>
      <c r="B24" s="28" t="s">
        <v>37</v>
      </c>
      <c r="C24" s="5">
        <v>23.0</v>
      </c>
      <c r="D24" s="5">
        <v>19.0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8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24.0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686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5" si="1">C2-D2</f>
        <v>104</v>
      </c>
    </row>
    <row r="3">
      <c r="A3" s="16"/>
      <c r="B3" s="15" t="s">
        <v>17</v>
      </c>
      <c r="C3" s="6">
        <v>104.0</v>
      </c>
      <c r="D3" s="5">
        <v>5.0</v>
      </c>
      <c r="E3" s="6">
        <f t="shared" si="1"/>
        <v>99</v>
      </c>
    </row>
    <row r="4">
      <c r="A4" s="16"/>
      <c r="B4" s="15" t="s">
        <v>18</v>
      </c>
      <c r="C4" s="6">
        <v>306.0</v>
      </c>
      <c r="D4" s="5">
        <v>41.0</v>
      </c>
      <c r="E4" s="6">
        <f t="shared" si="1"/>
        <v>265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502</v>
      </c>
    </row>
    <row r="8">
      <c r="A8" s="14" t="s">
        <v>21</v>
      </c>
      <c r="B8" s="15" t="s">
        <v>22</v>
      </c>
      <c r="C8" s="5">
        <v>35.0</v>
      </c>
      <c r="D8" s="5">
        <v>16.0</v>
      </c>
      <c r="E8" s="6">
        <f t="shared" ref="E8:E9" si="2">C8-D8</f>
        <v>19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/>
      <c r="D10" s="5">
        <v>5.0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4.0</v>
      </c>
      <c r="E11" s="6">
        <f t="shared" ref="E11:E12" si="3">C11-D11</f>
        <v>21</v>
      </c>
    </row>
    <row r="12">
      <c r="A12" s="16"/>
      <c r="B12" s="15" t="s">
        <v>25</v>
      </c>
      <c r="C12" s="5">
        <v>35.0</v>
      </c>
      <c r="D12" s="5">
        <v>11.0</v>
      </c>
      <c r="E12" s="6">
        <f t="shared" si="3"/>
        <v>24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79</v>
      </c>
    </row>
    <row r="15">
      <c r="A15" s="14" t="s">
        <v>27</v>
      </c>
      <c r="B15" s="15" t="s">
        <v>28</v>
      </c>
      <c r="C15" s="6">
        <v>236.0</v>
      </c>
      <c r="D15" s="5">
        <v>13.0</v>
      </c>
      <c r="E15" s="6">
        <f t="shared" ref="E15:E17" si="4">C15-D15</f>
        <v>223</v>
      </c>
    </row>
    <row r="16">
      <c r="A16" s="16"/>
      <c r="B16" s="15" t="s">
        <v>29</v>
      </c>
      <c r="C16" s="5"/>
      <c r="D16" s="5">
        <v>9.0</v>
      </c>
      <c r="E16" s="6">
        <f t="shared" si="4"/>
        <v>-9</v>
      </c>
    </row>
    <row r="17">
      <c r="A17" s="16"/>
      <c r="B17" s="4" t="s">
        <v>30</v>
      </c>
      <c r="C17" s="6">
        <v>138.0</v>
      </c>
      <c r="D17" s="5">
        <v>41.0</v>
      </c>
      <c r="E17" s="6">
        <f t="shared" si="4"/>
        <v>97</v>
      </c>
    </row>
    <row r="18">
      <c r="A18" s="16"/>
      <c r="B18" s="24" t="s">
        <v>31</v>
      </c>
      <c r="C18" s="25"/>
      <c r="D18" s="26">
        <v>20.0</v>
      </c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311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11.0</v>
      </c>
      <c r="E21" s="6">
        <f t="shared" ref="E21:E23" si="5">C21-D21</f>
        <v>7</v>
      </c>
      <c r="F21" s="12"/>
    </row>
    <row r="22">
      <c r="A22" s="16"/>
      <c r="B22" s="28" t="s">
        <v>35</v>
      </c>
      <c r="C22" s="5">
        <v>23.0</v>
      </c>
      <c r="D22" s="5">
        <v>7.0</v>
      </c>
      <c r="E22" s="6">
        <f t="shared" si="5"/>
        <v>16</v>
      </c>
      <c r="F22" s="12"/>
    </row>
    <row r="23">
      <c r="A23" s="16"/>
      <c r="B23" s="28" t="s">
        <v>36</v>
      </c>
      <c r="C23" s="5">
        <v>18.0</v>
      </c>
      <c r="D23" s="5">
        <v>13.0</v>
      </c>
      <c r="E23" s="6">
        <f t="shared" si="5"/>
        <v>5</v>
      </c>
      <c r="F23" s="12"/>
    </row>
    <row r="24">
      <c r="A24" s="16"/>
      <c r="B24" s="28" t="s">
        <v>37</v>
      </c>
      <c r="C24" s="5">
        <v>23.0</v>
      </c>
      <c r="D24" s="5">
        <v>15.0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28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24.0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920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54.0</v>
      </c>
      <c r="E4" s="6">
        <f t="shared" si="1"/>
        <v>252</v>
      </c>
    </row>
    <row r="5">
      <c r="A5" s="16"/>
      <c r="B5" s="15" t="s">
        <v>19</v>
      </c>
      <c r="C5" s="6">
        <v>35.0</v>
      </c>
      <c r="D5" s="5">
        <v>9.0</v>
      </c>
      <c r="E5" s="6">
        <f t="shared" si="1"/>
        <v>26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23" t="s">
        <v>20</v>
      </c>
      <c r="C7" s="20"/>
      <c r="D7" s="21"/>
      <c r="E7" s="22">
        <f>SUM(E2:E6)</f>
        <v>481</v>
      </c>
    </row>
    <row r="8">
      <c r="A8" s="14" t="s">
        <v>21</v>
      </c>
      <c r="B8" s="15" t="s">
        <v>22</v>
      </c>
      <c r="C8" s="5">
        <v>35.0</v>
      </c>
      <c r="D8" s="5">
        <v>4.0</v>
      </c>
      <c r="E8" s="6">
        <f t="shared" ref="E8:E9" si="2">C8-D8</f>
        <v>31</v>
      </c>
    </row>
    <row r="9">
      <c r="A9" s="16"/>
      <c r="B9" s="15" t="s">
        <v>23</v>
      </c>
      <c r="C9" s="5">
        <f>25</f>
        <v>25</v>
      </c>
      <c r="D9" s="5">
        <v>2.0</v>
      </c>
      <c r="E9" s="6">
        <f t="shared" si="2"/>
        <v>23</v>
      </c>
    </row>
    <row r="10">
      <c r="A10" s="16"/>
      <c r="B10" s="4" t="s">
        <v>44</v>
      </c>
      <c r="C10" s="5"/>
      <c r="D10" s="5">
        <v>4.0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1.0</v>
      </c>
      <c r="E11" s="6">
        <f t="shared" ref="E11:E12" si="3">C11-D11</f>
        <v>24</v>
      </c>
    </row>
    <row r="12">
      <c r="A12" s="16"/>
      <c r="B12" s="15" t="s">
        <v>25</v>
      </c>
      <c r="C12" s="5">
        <v>35.0</v>
      </c>
      <c r="D12" s="5">
        <v>0.0</v>
      </c>
      <c r="E12" s="6">
        <f t="shared" si="3"/>
        <v>35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113</v>
      </c>
    </row>
    <row r="15">
      <c r="A15" s="14" t="s">
        <v>27</v>
      </c>
      <c r="B15" s="15" t="s">
        <v>28</v>
      </c>
      <c r="C15" s="6">
        <v>236.0</v>
      </c>
      <c r="D15" s="5">
        <v>52.0</v>
      </c>
      <c r="E15" s="6">
        <f t="shared" ref="E15:E17" si="4">C15-D15</f>
        <v>184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43.0</v>
      </c>
      <c r="E17" s="6">
        <f t="shared" si="4"/>
        <v>95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279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13.0</v>
      </c>
      <c r="E21" s="6">
        <f t="shared" ref="E21:E23" si="5">C21-D21</f>
        <v>5</v>
      </c>
      <c r="F21" s="12"/>
    </row>
    <row r="22">
      <c r="A22" s="16"/>
      <c r="B22" s="28" t="s">
        <v>35</v>
      </c>
      <c r="C22" s="5">
        <v>23.0</v>
      </c>
      <c r="D22" s="5">
        <v>16.0</v>
      </c>
      <c r="E22" s="6">
        <f t="shared" si="5"/>
        <v>7</v>
      </c>
      <c r="F22" s="12"/>
    </row>
    <row r="23">
      <c r="A23" s="16"/>
      <c r="B23" s="28" t="s">
        <v>36</v>
      </c>
      <c r="C23" s="5">
        <v>18.0</v>
      </c>
      <c r="D23" s="5">
        <v>16.0</v>
      </c>
      <c r="E23" s="6">
        <f t="shared" si="5"/>
        <v>2</v>
      </c>
      <c r="F23" s="12"/>
    </row>
    <row r="24">
      <c r="A24" s="16"/>
      <c r="B24" s="28" t="s">
        <v>37</v>
      </c>
      <c r="C24" s="5">
        <v>23.0</v>
      </c>
      <c r="D24" s="5">
        <v>20.0</v>
      </c>
      <c r="E24" s="5">
        <v>0.0</v>
      </c>
      <c r="F24" s="12"/>
    </row>
    <row r="25">
      <c r="A25" s="16"/>
      <c r="B25" s="28" t="s">
        <v>43</v>
      </c>
      <c r="C25" s="17"/>
      <c r="D25" s="5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14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24.0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887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7.0</v>
      </c>
      <c r="E2" s="6">
        <f t="shared" ref="E2:E5" si="1">C2-D2</f>
        <v>101</v>
      </c>
    </row>
    <row r="3">
      <c r="A3" s="16"/>
      <c r="B3" s="15" t="s">
        <v>17</v>
      </c>
      <c r="C3" s="6">
        <v>104.0</v>
      </c>
      <c r="D3" s="5">
        <v>8.0</v>
      </c>
      <c r="E3" s="6">
        <f t="shared" si="1"/>
        <v>96</v>
      </c>
    </row>
    <row r="4">
      <c r="A4" s="16"/>
      <c r="B4" s="15" t="s">
        <v>18</v>
      </c>
      <c r="C4" s="6">
        <v>306.0</v>
      </c>
      <c r="D4" s="5">
        <v>36.0</v>
      </c>
      <c r="E4" s="6">
        <f t="shared" si="1"/>
        <v>270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500</v>
      </c>
    </row>
    <row r="8">
      <c r="A8" s="14" t="s">
        <v>21</v>
      </c>
      <c r="B8" s="15" t="s">
        <v>22</v>
      </c>
      <c r="C8" s="5">
        <v>35.0</v>
      </c>
      <c r="D8" s="5">
        <v>14.0</v>
      </c>
      <c r="E8" s="6">
        <f t="shared" ref="E8:E9" si="2">C8-D8</f>
        <v>21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/>
      <c r="D10" s="5">
        <v>3.0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10.0</v>
      </c>
      <c r="E11" s="6">
        <f t="shared" ref="E11:E12" si="3">C11-D11</f>
        <v>15</v>
      </c>
    </row>
    <row r="12">
      <c r="A12" s="16"/>
      <c r="B12" s="15" t="s">
        <v>25</v>
      </c>
      <c r="C12" s="5">
        <v>35.0</v>
      </c>
      <c r="D12" s="5">
        <v>17.0</v>
      </c>
      <c r="E12" s="6">
        <f t="shared" si="3"/>
        <v>18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72</v>
      </c>
    </row>
    <row r="15">
      <c r="A15" s="14" t="s">
        <v>27</v>
      </c>
      <c r="B15" s="15" t="s">
        <v>28</v>
      </c>
      <c r="C15" s="6">
        <v>236.0</v>
      </c>
      <c r="D15" s="5">
        <v>72.0</v>
      </c>
      <c r="E15" s="6">
        <f t="shared" ref="E15:E17" si="4">C15-D15</f>
        <v>164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71.0</v>
      </c>
      <c r="E17" s="6">
        <f t="shared" si="4"/>
        <v>67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231</v>
      </c>
      <c r="F20" s="12"/>
    </row>
    <row r="21">
      <c r="A21" s="30" t="s">
        <v>33</v>
      </c>
      <c r="B21" s="28" t="s">
        <v>34</v>
      </c>
      <c r="C21" s="5">
        <v>23.0</v>
      </c>
      <c r="D21" s="5">
        <v>22.0</v>
      </c>
      <c r="E21" s="6">
        <f t="shared" ref="E21:E23" si="5">C21-D21</f>
        <v>1</v>
      </c>
      <c r="F21" s="12"/>
    </row>
    <row r="22">
      <c r="A22" s="16"/>
      <c r="B22" s="28" t="s">
        <v>35</v>
      </c>
      <c r="C22" s="5">
        <v>23.0</v>
      </c>
      <c r="D22" s="5">
        <v>18.0</v>
      </c>
      <c r="E22" s="6">
        <f t="shared" si="5"/>
        <v>5</v>
      </c>
      <c r="F22" s="12"/>
    </row>
    <row r="23">
      <c r="A23" s="16"/>
      <c r="B23" s="28" t="s">
        <v>36</v>
      </c>
      <c r="C23" s="5">
        <v>23.0</v>
      </c>
      <c r="D23" s="5">
        <v>22.0</v>
      </c>
      <c r="E23" s="6">
        <f t="shared" si="5"/>
        <v>1</v>
      </c>
      <c r="F23" s="12"/>
    </row>
    <row r="24">
      <c r="A24" s="16"/>
      <c r="B24" s="28" t="s">
        <v>37</v>
      </c>
      <c r="C24" s="5">
        <v>23.0</v>
      </c>
      <c r="D24" s="5">
        <v>18.0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24.0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810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25.0</v>
      </c>
      <c r="E2" s="6">
        <f t="shared" ref="E2:E5" si="1">C2-D2</f>
        <v>83</v>
      </c>
    </row>
    <row r="3">
      <c r="A3" s="16"/>
      <c r="B3" s="15" t="s">
        <v>17</v>
      </c>
      <c r="C3" s="6">
        <v>104.0</v>
      </c>
      <c r="D3" s="5">
        <v>8.0</v>
      </c>
      <c r="E3" s="6">
        <f t="shared" si="1"/>
        <v>96</v>
      </c>
    </row>
    <row r="4">
      <c r="A4" s="16"/>
      <c r="B4" s="15" t="s">
        <v>18</v>
      </c>
      <c r="C4" s="6">
        <v>306.0</v>
      </c>
      <c r="D4" s="5">
        <v>13.0</v>
      </c>
      <c r="E4" s="6">
        <f t="shared" si="1"/>
        <v>293</v>
      </c>
    </row>
    <row r="5">
      <c r="A5" s="16"/>
      <c r="B5" s="15" t="s">
        <v>19</v>
      </c>
      <c r="C5" s="6">
        <v>35.0</v>
      </c>
      <c r="D5" s="5">
        <v>25.0</v>
      </c>
      <c r="E5" s="6">
        <f t="shared" si="1"/>
        <v>10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482</v>
      </c>
    </row>
    <row r="8">
      <c r="A8" s="14" t="s">
        <v>21</v>
      </c>
      <c r="B8" s="15" t="s">
        <v>22</v>
      </c>
      <c r="C8" s="5">
        <v>35.0</v>
      </c>
      <c r="D8" s="5">
        <v>32.0</v>
      </c>
      <c r="E8" s="6">
        <f t="shared" ref="E8:E9" si="2">C8-D8</f>
        <v>3</v>
      </c>
    </row>
    <row r="9">
      <c r="A9" s="16"/>
      <c r="B9" s="15" t="s">
        <v>23</v>
      </c>
      <c r="C9" s="5">
        <f>25</f>
        <v>25</v>
      </c>
      <c r="D9" s="5">
        <v>9.0</v>
      </c>
      <c r="E9" s="6">
        <f t="shared" si="2"/>
        <v>16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10.0</v>
      </c>
      <c r="E11" s="6">
        <f t="shared" ref="E11:E12" si="3">C11-D11</f>
        <v>15</v>
      </c>
    </row>
    <row r="12">
      <c r="A12" s="16"/>
      <c r="B12" s="15" t="s">
        <v>25</v>
      </c>
      <c r="C12" s="5">
        <v>35.0</v>
      </c>
      <c r="D12" s="5">
        <v>25.0</v>
      </c>
      <c r="E12" s="6">
        <f t="shared" si="3"/>
        <v>10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44</v>
      </c>
    </row>
    <row r="15">
      <c r="A15" s="14" t="s">
        <v>27</v>
      </c>
      <c r="B15" s="15" t="s">
        <v>28</v>
      </c>
      <c r="C15" s="6">
        <v>236.0</v>
      </c>
      <c r="D15" s="5">
        <v>136.0</v>
      </c>
      <c r="E15" s="6">
        <f t="shared" ref="E15:E17" si="4">C15-D15</f>
        <v>100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114.0</v>
      </c>
      <c r="E17" s="6">
        <f t="shared" si="4"/>
        <v>24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124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14.0</v>
      </c>
      <c r="E21" s="6">
        <f t="shared" ref="E21:E23" si="5">C21-D21</f>
        <v>4</v>
      </c>
      <c r="F21" s="12"/>
    </row>
    <row r="22">
      <c r="A22" s="16"/>
      <c r="B22" s="28" t="s">
        <v>35</v>
      </c>
      <c r="C22" s="5">
        <v>23.0</v>
      </c>
      <c r="D22" s="5">
        <v>21.0</v>
      </c>
      <c r="E22" s="6">
        <f t="shared" si="5"/>
        <v>2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5">
        <v>0.0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6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38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24.0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656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10.0</v>
      </c>
      <c r="E2" s="6">
        <f t="shared" ref="E2:E5" si="1">C2-D2</f>
        <v>98</v>
      </c>
    </row>
    <row r="3">
      <c r="A3" s="16"/>
      <c r="B3" s="15" t="s">
        <v>17</v>
      </c>
      <c r="C3" s="6">
        <v>104.0</v>
      </c>
      <c r="D3" s="5">
        <v>16.0</v>
      </c>
      <c r="E3" s="6">
        <f t="shared" si="1"/>
        <v>88</v>
      </c>
    </row>
    <row r="4">
      <c r="A4" s="16"/>
      <c r="B4" s="15" t="s">
        <v>18</v>
      </c>
      <c r="C4" s="6">
        <v>306.0</v>
      </c>
      <c r="D4" s="5">
        <v>50.0</v>
      </c>
      <c r="E4" s="6">
        <f t="shared" si="1"/>
        <v>256</v>
      </c>
    </row>
    <row r="5">
      <c r="A5" s="16"/>
      <c r="B5" s="15" t="s">
        <v>19</v>
      </c>
      <c r="C5" s="6">
        <v>35.0</v>
      </c>
      <c r="D5" s="5">
        <v>11.0</v>
      </c>
      <c r="E5" s="6">
        <f t="shared" si="1"/>
        <v>24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466</v>
      </c>
    </row>
    <row r="8">
      <c r="A8" s="14" t="s">
        <v>21</v>
      </c>
      <c r="B8" s="15" t="s">
        <v>22</v>
      </c>
      <c r="C8" s="5">
        <v>35.0</v>
      </c>
      <c r="D8" s="5">
        <v>18.0</v>
      </c>
      <c r="E8" s="6">
        <f t="shared" ref="E8:E9" si="2">C8-D8</f>
        <v>17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>
        <v>7.0</v>
      </c>
      <c r="D10" s="5"/>
      <c r="E10" s="54">
        <f>C10</f>
        <v>7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9.0</v>
      </c>
      <c r="E11" s="6">
        <f t="shared" ref="E11:E12" si="3">C11-D11</f>
        <v>16</v>
      </c>
    </row>
    <row r="12">
      <c r="A12" s="16"/>
      <c r="B12" s="15" t="s">
        <v>25</v>
      </c>
      <c r="C12" s="5">
        <v>35.0</v>
      </c>
      <c r="D12" s="5">
        <v>8.0</v>
      </c>
      <c r="E12" s="6">
        <f t="shared" si="3"/>
        <v>27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89</v>
      </c>
    </row>
    <row r="15">
      <c r="A15" s="14" t="s">
        <v>27</v>
      </c>
      <c r="B15" s="15" t="s">
        <v>28</v>
      </c>
      <c r="C15" s="6">
        <v>236.0</v>
      </c>
      <c r="D15" s="5">
        <v>25.0</v>
      </c>
      <c r="E15" s="6">
        <f t="shared" ref="E15:E17" si="4">C15-D15</f>
        <v>211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18.0</v>
      </c>
      <c r="E17" s="6">
        <f t="shared" si="4"/>
        <v>120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331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7.0</v>
      </c>
      <c r="E21" s="6">
        <f t="shared" ref="E21:E23" si="5">C21-D21</f>
        <v>11</v>
      </c>
      <c r="F21" s="12"/>
    </row>
    <row r="22">
      <c r="A22" s="16"/>
      <c r="B22" s="28" t="s">
        <v>35</v>
      </c>
      <c r="C22" s="5">
        <v>23.0</v>
      </c>
      <c r="D22" s="5">
        <v>2.0</v>
      </c>
      <c r="E22" s="6">
        <f t="shared" si="5"/>
        <v>21</v>
      </c>
      <c r="F22" s="12"/>
    </row>
    <row r="23">
      <c r="A23" s="16"/>
      <c r="B23" s="28" t="s">
        <v>36</v>
      </c>
      <c r="C23" s="5">
        <v>18.0</v>
      </c>
      <c r="D23" s="5">
        <v>8.0</v>
      </c>
      <c r="E23" s="6">
        <f t="shared" si="5"/>
        <v>10</v>
      </c>
      <c r="F23" s="12"/>
    </row>
    <row r="24">
      <c r="A24" s="16"/>
      <c r="B24" s="28" t="s">
        <v>37</v>
      </c>
      <c r="C24" s="5">
        <v>23.0</v>
      </c>
      <c r="D24" s="5">
        <v>14.0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65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42">
        <v>16.0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25.0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967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5.0</v>
      </c>
      <c r="E2" s="6">
        <f t="shared" ref="E2:E5" si="1">C2-D2</f>
        <v>103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40.0</v>
      </c>
      <c r="E4" s="6">
        <f t="shared" si="1"/>
        <v>266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503</v>
      </c>
    </row>
    <row r="8">
      <c r="A8" s="14" t="s">
        <v>21</v>
      </c>
      <c r="B8" s="15" t="s">
        <v>22</v>
      </c>
      <c r="C8" s="5">
        <v>35.0</v>
      </c>
      <c r="D8" s="5">
        <v>12.0</v>
      </c>
      <c r="E8" s="6">
        <f t="shared" ref="E8:E9" si="2">C8-D8</f>
        <v>23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>
        <v>6.0</v>
      </c>
      <c r="D10" s="5"/>
      <c r="E10" s="54">
        <f>C10</f>
        <v>6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9.0</v>
      </c>
      <c r="E12" s="6">
        <f t="shared" si="3"/>
        <v>26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100</v>
      </c>
    </row>
    <row r="15">
      <c r="A15" s="14" t="s">
        <v>27</v>
      </c>
      <c r="B15" s="15" t="s">
        <v>28</v>
      </c>
      <c r="C15" s="6">
        <v>236.0</v>
      </c>
      <c r="D15" s="5">
        <v>49.0</v>
      </c>
      <c r="E15" s="6">
        <f t="shared" ref="E15:E17" si="4">C15-D15</f>
        <v>187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43.0</v>
      </c>
      <c r="E17" s="6">
        <f t="shared" si="4"/>
        <v>95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282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8.0</v>
      </c>
      <c r="E21" s="6">
        <f t="shared" ref="E21:E23" si="5">C21-D21</f>
        <v>10</v>
      </c>
      <c r="F21" s="12"/>
    </row>
    <row r="22">
      <c r="A22" s="16"/>
      <c r="B22" s="28" t="s">
        <v>35</v>
      </c>
      <c r="C22" s="5">
        <v>23.0</v>
      </c>
      <c r="D22" s="5">
        <v>6.0</v>
      </c>
      <c r="E22" s="6">
        <f t="shared" si="5"/>
        <v>17</v>
      </c>
      <c r="F22" s="12"/>
    </row>
    <row r="23">
      <c r="A23" s="16"/>
      <c r="B23" s="28" t="s">
        <v>36</v>
      </c>
      <c r="C23" s="5">
        <v>18.0</v>
      </c>
      <c r="D23" s="5">
        <v>14.0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>
        <v>16.0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54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25.0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939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20.0</v>
      </c>
      <c r="E4" s="6">
        <f t="shared" si="1"/>
        <v>286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526</v>
      </c>
    </row>
    <row r="8">
      <c r="A8" s="14" t="s">
        <v>21</v>
      </c>
      <c r="B8" s="15" t="s">
        <v>22</v>
      </c>
      <c r="C8" s="5">
        <v>35.0</v>
      </c>
      <c r="D8" s="5">
        <v>5.0</v>
      </c>
      <c r="E8" s="6">
        <f t="shared" ref="E8:E9" si="2">C8-D8</f>
        <v>30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/>
      <c r="D10" s="5">
        <v>3.0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/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>
        <v>5.0</v>
      </c>
      <c r="E12" s="6">
        <f t="shared" si="3"/>
        <v>30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107</v>
      </c>
    </row>
    <row r="15">
      <c r="A15" s="14" t="s">
        <v>27</v>
      </c>
      <c r="B15" s="15" t="s">
        <v>28</v>
      </c>
      <c r="C15" s="6">
        <v>236.0</v>
      </c>
      <c r="D15" s="5">
        <v>37.0</v>
      </c>
      <c r="E15" s="6">
        <f t="shared" ref="E15:E17" si="4">C15-D15</f>
        <v>199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49.0</v>
      </c>
      <c r="E17" s="6">
        <f t="shared" si="4"/>
        <v>89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288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17.0</v>
      </c>
      <c r="E21" s="6">
        <f t="shared" ref="E21:E23" si="5">C21-D21</f>
        <v>1</v>
      </c>
      <c r="F21" s="12"/>
    </row>
    <row r="22">
      <c r="A22" s="16"/>
      <c r="B22" s="28" t="s">
        <v>35</v>
      </c>
      <c r="C22" s="5">
        <v>23.0</v>
      </c>
      <c r="D22" s="5">
        <v>15.0</v>
      </c>
      <c r="E22" s="6">
        <f t="shared" si="5"/>
        <v>8</v>
      </c>
      <c r="F22" s="12"/>
    </row>
    <row r="23">
      <c r="A23" s="16"/>
      <c r="B23" s="28" t="s">
        <v>36</v>
      </c>
      <c r="C23" s="5">
        <v>18.0</v>
      </c>
      <c r="D23" s="5">
        <v>14.0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>
        <v>10.0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36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0.0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957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28.0</v>
      </c>
      <c r="E3" s="6">
        <f t="shared" si="1"/>
        <v>76</v>
      </c>
    </row>
    <row r="4">
      <c r="A4" s="16"/>
      <c r="B4" s="15" t="s">
        <v>18</v>
      </c>
      <c r="C4" s="6">
        <v>306.0</v>
      </c>
      <c r="D4" s="5">
        <v>46.0</v>
      </c>
      <c r="E4" s="6">
        <f t="shared" si="1"/>
        <v>260</v>
      </c>
    </row>
    <row r="5">
      <c r="A5" s="16"/>
      <c r="B5" s="15" t="s">
        <v>19</v>
      </c>
      <c r="C5" s="6">
        <v>35.0</v>
      </c>
      <c r="D5" s="5">
        <v>5.0</v>
      </c>
      <c r="E5" s="6">
        <f t="shared" si="1"/>
        <v>30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468</v>
      </c>
    </row>
    <row r="8">
      <c r="A8" s="14" t="s">
        <v>21</v>
      </c>
      <c r="B8" s="15" t="s">
        <v>22</v>
      </c>
      <c r="C8" s="5">
        <v>35.0</v>
      </c>
      <c r="D8" s="5">
        <v>19.0</v>
      </c>
      <c r="E8" s="6">
        <f t="shared" ref="E8:E9" si="2">C8-D8</f>
        <v>16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8.0</v>
      </c>
      <c r="E11" s="6">
        <f t="shared" ref="E11:E12" si="3">C11-D11</f>
        <v>17</v>
      </c>
    </row>
    <row r="12">
      <c r="A12" s="16"/>
      <c r="B12" s="15" t="s">
        <v>25</v>
      </c>
      <c r="C12" s="5">
        <v>35.0</v>
      </c>
      <c r="D12" s="5">
        <v>10.0</v>
      </c>
      <c r="E12" s="6">
        <f t="shared" si="3"/>
        <v>25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76</v>
      </c>
    </row>
    <row r="15">
      <c r="A15" s="14" t="s">
        <v>27</v>
      </c>
      <c r="B15" s="15" t="s">
        <v>28</v>
      </c>
      <c r="C15" s="6">
        <v>236.0</v>
      </c>
      <c r="D15" s="5">
        <v>143.0</v>
      </c>
      <c r="E15" s="6">
        <f t="shared" ref="E15:E17" si="4">C15-D15</f>
        <v>93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98.0</v>
      </c>
      <c r="E17" s="6">
        <f t="shared" si="4"/>
        <v>40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133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23.0</v>
      </c>
      <c r="E22" s="6">
        <f t="shared" si="5"/>
        <v>0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23</v>
      </c>
      <c r="F26" s="12"/>
    </row>
    <row r="27">
      <c r="A27" s="30" t="s">
        <v>38</v>
      </c>
      <c r="B27" s="24" t="s">
        <v>50</v>
      </c>
      <c r="C27" s="38">
        <v>0.0</v>
      </c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/>
      <c r="D31" s="5">
        <v>0.0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/>
      <c r="D34" s="5">
        <v>0.0</v>
      </c>
      <c r="E34" s="6">
        <f>C34-D42</f>
        <v>0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0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700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92.0</v>
      </c>
      <c r="E2" s="31">
        <f t="shared" ref="E2:E5" si="1">C2-D2</f>
        <v>16</v>
      </c>
    </row>
    <row r="3">
      <c r="A3" s="16"/>
      <c r="B3" s="15" t="s">
        <v>17</v>
      </c>
      <c r="C3" s="6">
        <v>104.0</v>
      </c>
      <c r="D3" s="5"/>
      <c r="E3" s="6">
        <f t="shared" si="1"/>
        <v>104</v>
      </c>
    </row>
    <row r="4">
      <c r="A4" s="16"/>
      <c r="B4" s="15" t="s">
        <v>18</v>
      </c>
      <c r="C4" s="6">
        <v>306.0</v>
      </c>
      <c r="D4" s="5"/>
      <c r="E4" s="6">
        <f t="shared" si="1"/>
        <v>306</v>
      </c>
    </row>
    <row r="5">
      <c r="A5" s="16"/>
      <c r="B5" s="15" t="s">
        <v>19</v>
      </c>
      <c r="C5" s="6">
        <v>35.0</v>
      </c>
      <c r="D5" s="5"/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461</v>
      </c>
    </row>
    <row r="8">
      <c r="A8" s="14" t="s">
        <v>21</v>
      </c>
      <c r="B8" s="15" t="s">
        <v>22</v>
      </c>
      <c r="C8" s="5">
        <v>35.0</v>
      </c>
      <c r="D8" s="5">
        <v>35.0</v>
      </c>
      <c r="E8" s="6">
        <f t="shared" ref="E8:E9" si="2">C8-D8</f>
        <v>0</v>
      </c>
    </row>
    <row r="9">
      <c r="A9" s="16"/>
      <c r="B9" s="15" t="s">
        <v>23</v>
      </c>
      <c r="C9" s="5">
        <f>25</f>
        <v>25</v>
      </c>
      <c r="D9" s="5"/>
      <c r="E9" s="6">
        <f t="shared" si="2"/>
        <v>25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/>
      <c r="E11" s="6">
        <f t="shared" ref="E11:E12" si="3">C11-D11</f>
        <v>25</v>
      </c>
    </row>
    <row r="12">
      <c r="A12" s="16"/>
      <c r="B12" s="15" t="s">
        <v>25</v>
      </c>
      <c r="C12" s="5">
        <v>35.0</v>
      </c>
      <c r="D12" s="5">
        <v>35.0</v>
      </c>
      <c r="E12" s="6">
        <f t="shared" si="3"/>
        <v>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50</v>
      </c>
    </row>
    <row r="15">
      <c r="A15" s="14" t="s">
        <v>27</v>
      </c>
      <c r="B15" s="15" t="s">
        <v>28</v>
      </c>
      <c r="C15" s="6">
        <v>236.0</v>
      </c>
      <c r="D15" s="5">
        <v>142.0</v>
      </c>
      <c r="E15" s="6">
        <f t="shared" ref="E15:E17" si="4">C15-D15</f>
        <v>94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121.0</v>
      </c>
      <c r="E17" s="6">
        <f t="shared" si="4"/>
        <v>17</v>
      </c>
    </row>
    <row r="18">
      <c r="A18" s="16"/>
      <c r="B18" s="24" t="s">
        <v>31</v>
      </c>
      <c r="C18" s="25">
        <v>24.0</v>
      </c>
      <c r="D18" s="26"/>
      <c r="E18" s="54">
        <f>C18-D19</f>
        <v>24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135</v>
      </c>
      <c r="F20" s="12"/>
    </row>
    <row r="21">
      <c r="A21" s="30" t="s">
        <v>33</v>
      </c>
      <c r="B21" s="28" t="s">
        <v>34</v>
      </c>
      <c r="C21" s="5">
        <v>18.0</v>
      </c>
      <c r="D21" s="5"/>
      <c r="E21" s="6">
        <f t="shared" ref="E21:E23" si="5">C21-D21</f>
        <v>18</v>
      </c>
      <c r="F21" s="12"/>
    </row>
    <row r="22">
      <c r="A22" s="16"/>
      <c r="B22" s="28" t="s">
        <v>35</v>
      </c>
      <c r="C22" s="5">
        <v>23.0</v>
      </c>
      <c r="D22" s="5"/>
      <c r="E22" s="6">
        <f t="shared" si="5"/>
        <v>23</v>
      </c>
      <c r="F22" s="12"/>
    </row>
    <row r="23">
      <c r="A23" s="16"/>
      <c r="B23" s="28" t="s">
        <v>36</v>
      </c>
      <c r="C23" s="5">
        <v>18.0</v>
      </c>
      <c r="D23" s="5"/>
      <c r="E23" s="6">
        <f t="shared" si="5"/>
        <v>18</v>
      </c>
      <c r="F23" s="12"/>
    </row>
    <row r="24">
      <c r="A24" s="16"/>
      <c r="B24" s="28" t="s">
        <v>37</v>
      </c>
      <c r="C24" s="5">
        <v>23.0</v>
      </c>
      <c r="D24" s="5"/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82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791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15.0</v>
      </c>
      <c r="E2" s="6">
        <f t="shared" ref="E2:E5" si="1">C2-D2</f>
        <v>93</v>
      </c>
    </row>
    <row r="3">
      <c r="A3" s="16"/>
      <c r="B3" s="15" t="s">
        <v>17</v>
      </c>
      <c r="C3" s="6">
        <v>104.0</v>
      </c>
      <c r="D3" s="5"/>
      <c r="E3" s="6">
        <f t="shared" si="1"/>
        <v>104</v>
      </c>
    </row>
    <row r="4">
      <c r="A4" s="16"/>
      <c r="B4" s="15" t="s">
        <v>18</v>
      </c>
      <c r="C4" s="6">
        <v>306.0</v>
      </c>
      <c r="D4" s="5">
        <v>56.0</v>
      </c>
      <c r="E4" s="6">
        <f t="shared" si="1"/>
        <v>250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480</v>
      </c>
    </row>
    <row r="8">
      <c r="A8" s="14" t="s">
        <v>21</v>
      </c>
      <c r="B8" s="15" t="s">
        <v>22</v>
      </c>
      <c r="C8" s="5">
        <v>35.0</v>
      </c>
      <c r="D8" s="5">
        <v>8.0</v>
      </c>
      <c r="E8" s="6">
        <f t="shared" ref="E8:E9" si="2">C8-D8</f>
        <v>27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/>
      <c r="D10" s="5">
        <v>1.0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7.0</v>
      </c>
      <c r="E11" s="6">
        <f t="shared" ref="E11:E12" si="3">C11-D11</f>
        <v>18</v>
      </c>
    </row>
    <row r="12">
      <c r="A12" s="16"/>
      <c r="B12" s="15" t="s">
        <v>25</v>
      </c>
      <c r="C12" s="5">
        <v>35.0</v>
      </c>
      <c r="D12" s="5">
        <v>6.0</v>
      </c>
      <c r="E12" s="6">
        <f t="shared" si="3"/>
        <v>29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96</v>
      </c>
    </row>
    <row r="15">
      <c r="A15" s="14" t="s">
        <v>27</v>
      </c>
      <c r="B15" s="15" t="s">
        <v>28</v>
      </c>
      <c r="C15" s="6">
        <v>236.0</v>
      </c>
      <c r="D15" s="5">
        <v>70.0</v>
      </c>
      <c r="E15" s="6">
        <f t="shared" ref="E15:E17" si="4">C15-D15</f>
        <v>166</v>
      </c>
    </row>
    <row r="16">
      <c r="A16" s="16"/>
      <c r="B16" s="15" t="s">
        <v>29</v>
      </c>
      <c r="C16" s="5"/>
      <c r="D16" s="5">
        <v>9.0</v>
      </c>
      <c r="E16" s="6">
        <f t="shared" si="4"/>
        <v>-9</v>
      </c>
    </row>
    <row r="17">
      <c r="A17" s="16"/>
      <c r="B17" s="4" t="s">
        <v>30</v>
      </c>
      <c r="C17" s="6">
        <v>138.0</v>
      </c>
      <c r="D17" s="5">
        <v>92.0</v>
      </c>
      <c r="E17" s="6">
        <f t="shared" si="4"/>
        <v>46</v>
      </c>
    </row>
    <row r="18">
      <c r="A18" s="16"/>
      <c r="B18" s="24" t="s">
        <v>31</v>
      </c>
      <c r="C18" s="25">
        <v>24.0</v>
      </c>
      <c r="D18" s="26"/>
      <c r="E18" s="54">
        <f>C18-D19</f>
        <v>24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227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17.0</v>
      </c>
      <c r="E21" s="6">
        <f t="shared" ref="E21:E23" si="5">C21-D21</f>
        <v>1</v>
      </c>
      <c r="F21" s="12"/>
    </row>
    <row r="22">
      <c r="A22" s="16"/>
      <c r="B22" s="28" t="s">
        <v>35</v>
      </c>
      <c r="C22" s="5">
        <v>23.0</v>
      </c>
      <c r="D22" s="5">
        <v>14.0</v>
      </c>
      <c r="E22" s="6">
        <f t="shared" si="5"/>
        <v>9</v>
      </c>
      <c r="F22" s="12"/>
    </row>
    <row r="23">
      <c r="A23" s="16"/>
      <c r="B23" s="28" t="s">
        <v>36</v>
      </c>
      <c r="C23" s="5">
        <v>18.0</v>
      </c>
      <c r="D23" s="5">
        <v>15.0</v>
      </c>
      <c r="E23" s="6">
        <f t="shared" si="5"/>
        <v>3</v>
      </c>
      <c r="F23" s="12"/>
    </row>
    <row r="24">
      <c r="A24" s="16"/>
      <c r="B24" s="28" t="s">
        <v>37</v>
      </c>
      <c r="C24" s="5">
        <v>23.0</v>
      </c>
      <c r="D24" s="5">
        <v>17.0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36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902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3.0</v>
      </c>
      <c r="E2" s="6">
        <f t="shared" ref="E2:E5" si="1">C2-D2</f>
        <v>105</v>
      </c>
    </row>
    <row r="3">
      <c r="A3" s="16"/>
      <c r="B3" s="15" t="s">
        <v>17</v>
      </c>
      <c r="C3" s="6">
        <v>104.0</v>
      </c>
      <c r="D3" s="5">
        <v>4.0</v>
      </c>
      <c r="E3" s="6">
        <f t="shared" si="1"/>
        <v>100</v>
      </c>
    </row>
    <row r="4">
      <c r="A4" s="16"/>
      <c r="B4" s="15" t="s">
        <v>18</v>
      </c>
      <c r="C4" s="6">
        <v>306.0</v>
      </c>
      <c r="D4" s="5">
        <v>50.0</v>
      </c>
      <c r="E4" s="6">
        <f t="shared" si="1"/>
        <v>256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494</v>
      </c>
    </row>
    <row r="8">
      <c r="A8" s="14" t="s">
        <v>21</v>
      </c>
      <c r="B8" s="15" t="s">
        <v>22</v>
      </c>
      <c r="C8" s="5">
        <v>35.0</v>
      </c>
      <c r="D8" s="5">
        <v>4.0</v>
      </c>
      <c r="E8" s="6">
        <f t="shared" ref="E8:E9" si="2">C8-D8</f>
        <v>31</v>
      </c>
    </row>
    <row r="9">
      <c r="A9" s="16"/>
      <c r="B9" s="15" t="s">
        <v>23</v>
      </c>
      <c r="C9" s="5">
        <f>25</f>
        <v>25</v>
      </c>
      <c r="D9" s="5">
        <v>7.0</v>
      </c>
      <c r="E9" s="6">
        <f t="shared" si="2"/>
        <v>18</v>
      </c>
    </row>
    <row r="10">
      <c r="A10" s="16"/>
      <c r="B10" s="4" t="s">
        <v>44</v>
      </c>
      <c r="C10" s="5"/>
      <c r="D10" s="5">
        <v>2.0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1.0</v>
      </c>
      <c r="E11" s="6">
        <f t="shared" ref="E11:E12" si="3">C11-D11</f>
        <v>24</v>
      </c>
    </row>
    <row r="12">
      <c r="A12" s="16"/>
      <c r="B12" s="15" t="s">
        <v>25</v>
      </c>
      <c r="C12" s="5">
        <v>35.0</v>
      </c>
      <c r="D12" s="5">
        <v>4.0</v>
      </c>
      <c r="E12" s="6">
        <f t="shared" si="3"/>
        <v>31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104</v>
      </c>
    </row>
    <row r="15">
      <c r="A15" s="14" t="s">
        <v>27</v>
      </c>
      <c r="B15" s="15" t="s">
        <v>28</v>
      </c>
      <c r="C15" s="6">
        <v>236.0</v>
      </c>
      <c r="D15" s="5">
        <v>50.0</v>
      </c>
      <c r="E15" s="6">
        <f t="shared" ref="E15:E17" si="4">C15-D15</f>
        <v>186</v>
      </c>
    </row>
    <row r="16">
      <c r="A16" s="16"/>
      <c r="B16" s="15" t="s">
        <v>29</v>
      </c>
      <c r="C16" s="5"/>
      <c r="D16" s="5">
        <v>9.0</v>
      </c>
      <c r="E16" s="6">
        <f t="shared" si="4"/>
        <v>-9</v>
      </c>
    </row>
    <row r="17">
      <c r="A17" s="16"/>
      <c r="B17" s="4" t="s">
        <v>30</v>
      </c>
      <c r="C17" s="6">
        <v>138.0</v>
      </c>
      <c r="D17" s="5">
        <v>80.0</v>
      </c>
      <c r="E17" s="6">
        <f t="shared" si="4"/>
        <v>58</v>
      </c>
    </row>
    <row r="18">
      <c r="A18" s="16"/>
      <c r="B18" s="24" t="s">
        <v>31</v>
      </c>
      <c r="C18" s="25">
        <v>24.0</v>
      </c>
      <c r="D18" s="26"/>
      <c r="E18" s="54">
        <f>C18-D19</f>
        <v>24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259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14.0</v>
      </c>
      <c r="E21" s="6">
        <f t="shared" ref="E21:E23" si="5">C21-D21</f>
        <v>4</v>
      </c>
      <c r="F21" s="12"/>
    </row>
    <row r="22">
      <c r="A22" s="16"/>
      <c r="B22" s="28" t="s">
        <v>35</v>
      </c>
      <c r="C22" s="5">
        <v>23.0</v>
      </c>
      <c r="D22" s="5">
        <v>9.0</v>
      </c>
      <c r="E22" s="6">
        <f t="shared" si="5"/>
        <v>14</v>
      </c>
      <c r="F22" s="12"/>
    </row>
    <row r="23">
      <c r="A23" s="16"/>
      <c r="B23" s="28" t="s">
        <v>36</v>
      </c>
      <c r="C23" s="5">
        <v>18.0</v>
      </c>
      <c r="D23" s="5">
        <v>14.0</v>
      </c>
      <c r="E23" s="6">
        <f t="shared" si="5"/>
        <v>4</v>
      </c>
      <c r="F23" s="12"/>
    </row>
    <row r="24">
      <c r="A24" s="16"/>
      <c r="B24" s="28" t="s">
        <v>37</v>
      </c>
      <c r="C24" s="5">
        <v>23.0</v>
      </c>
      <c r="D24" s="5">
        <v>18.0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45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965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2.0</v>
      </c>
      <c r="E2" s="6">
        <f t="shared" ref="E2:E5" si="1">C2-D2</f>
        <v>106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35.0</v>
      </c>
      <c r="E4" s="6">
        <f t="shared" si="1"/>
        <v>271</v>
      </c>
    </row>
    <row r="5">
      <c r="A5" s="16"/>
      <c r="B5" s="15" t="s">
        <v>19</v>
      </c>
      <c r="C5" s="6">
        <v>35.0</v>
      </c>
      <c r="D5" s="5">
        <v>1.0</v>
      </c>
      <c r="E5" s="6">
        <f t="shared" si="1"/>
        <v>34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512</v>
      </c>
    </row>
    <row r="8">
      <c r="A8" s="14" t="s">
        <v>21</v>
      </c>
      <c r="B8" s="15" t="s">
        <v>22</v>
      </c>
      <c r="C8" s="5">
        <v>35.0</v>
      </c>
      <c r="D8" s="5">
        <v>2.0</v>
      </c>
      <c r="E8" s="6">
        <f t="shared" ref="E8:E9" si="2">C8-D8</f>
        <v>33</v>
      </c>
    </row>
    <row r="9">
      <c r="A9" s="16"/>
      <c r="B9" s="15" t="s">
        <v>23</v>
      </c>
      <c r="C9" s="5">
        <f>25</f>
        <v>25</v>
      </c>
      <c r="D9" s="5">
        <v>4.0</v>
      </c>
      <c r="E9" s="6">
        <f t="shared" si="2"/>
        <v>21</v>
      </c>
    </row>
    <row r="10">
      <c r="A10" s="16"/>
      <c r="B10" s="4" t="s">
        <v>44</v>
      </c>
      <c r="C10" s="5">
        <v>10.0</v>
      </c>
      <c r="D10" s="5"/>
      <c r="E10" s="54">
        <f>C10</f>
        <v>10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2.0</v>
      </c>
      <c r="E11" s="6">
        <f t="shared" ref="E11:E12" si="3">C11-D11</f>
        <v>23</v>
      </c>
    </row>
    <row r="12">
      <c r="A12" s="16"/>
      <c r="B12" s="15" t="s">
        <v>25</v>
      </c>
      <c r="C12" s="5">
        <v>35.0</v>
      </c>
      <c r="D12" s="5">
        <v>3.0</v>
      </c>
      <c r="E12" s="6">
        <f t="shared" si="3"/>
        <v>32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119</v>
      </c>
    </row>
    <row r="15">
      <c r="A15" s="14" t="s">
        <v>27</v>
      </c>
      <c r="B15" s="15" t="s">
        <v>28</v>
      </c>
      <c r="C15" s="6">
        <v>236.0</v>
      </c>
      <c r="D15" s="5">
        <v>9.0</v>
      </c>
      <c r="E15" s="6">
        <f t="shared" ref="E15:E17" si="4">C15-D15</f>
        <v>227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19.0</v>
      </c>
      <c r="E17" s="6">
        <f t="shared" si="4"/>
        <v>119</v>
      </c>
    </row>
    <row r="18">
      <c r="A18" s="16"/>
      <c r="B18" s="24" t="s">
        <v>31</v>
      </c>
      <c r="C18" s="25">
        <v>24.0</v>
      </c>
      <c r="D18" s="5">
        <v>24.0</v>
      </c>
      <c r="E18" s="54">
        <f>C18-D19</f>
        <v>24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370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3.0</v>
      </c>
      <c r="E21" s="6">
        <f t="shared" ref="E21:E23" si="5">C21-D21</f>
        <v>15</v>
      </c>
      <c r="F21" s="12"/>
    </row>
    <row r="22">
      <c r="A22" s="16"/>
      <c r="B22" s="28" t="s">
        <v>35</v>
      </c>
      <c r="C22" s="5">
        <v>23.0</v>
      </c>
      <c r="D22" s="5">
        <v>0.0</v>
      </c>
      <c r="E22" s="6">
        <f t="shared" si="5"/>
        <v>23</v>
      </c>
      <c r="F22" s="12"/>
    </row>
    <row r="23">
      <c r="A23" s="16"/>
      <c r="B23" s="28" t="s">
        <v>36</v>
      </c>
      <c r="C23" s="5">
        <v>18.0</v>
      </c>
      <c r="D23" s="5">
        <v>5.0</v>
      </c>
      <c r="E23" s="6">
        <f t="shared" si="5"/>
        <v>13</v>
      </c>
      <c r="F23" s="12"/>
    </row>
    <row r="24">
      <c r="A24" s="16"/>
      <c r="B24" s="28" t="s">
        <v>37</v>
      </c>
      <c r="C24" s="5">
        <v>23.0</v>
      </c>
      <c r="D24" s="5">
        <v>3.0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74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1138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19.0</v>
      </c>
      <c r="E2" s="6">
        <f t="shared" ref="E2:E5" si="1">C2-D2</f>
        <v>89</v>
      </c>
    </row>
    <row r="3">
      <c r="A3" s="16"/>
      <c r="B3" s="15" t="s">
        <v>17</v>
      </c>
      <c r="C3" s="6">
        <v>104.0</v>
      </c>
      <c r="D3" s="5">
        <v>9.0</v>
      </c>
      <c r="E3" s="6">
        <f t="shared" si="1"/>
        <v>95</v>
      </c>
    </row>
    <row r="4">
      <c r="A4" s="16"/>
      <c r="B4" s="15" t="s">
        <v>18</v>
      </c>
      <c r="C4" s="6">
        <v>306.0</v>
      </c>
      <c r="D4" s="5">
        <v>62.0</v>
      </c>
      <c r="E4" s="6">
        <f t="shared" si="1"/>
        <v>244</v>
      </c>
    </row>
    <row r="5">
      <c r="A5" s="16"/>
      <c r="B5" s="15" t="s">
        <v>19</v>
      </c>
      <c r="C5" s="6">
        <v>35.0</v>
      </c>
      <c r="D5" s="5">
        <v>11.0</v>
      </c>
      <c r="E5" s="6">
        <f t="shared" si="1"/>
        <v>24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452</v>
      </c>
    </row>
    <row r="8">
      <c r="A8" s="14" t="s">
        <v>21</v>
      </c>
      <c r="B8" s="15" t="s">
        <v>22</v>
      </c>
      <c r="C8" s="5">
        <v>35.0</v>
      </c>
      <c r="D8" s="5">
        <v>18.0</v>
      </c>
      <c r="E8" s="6">
        <f t="shared" ref="E8:E9" si="2">C8-D8</f>
        <v>17</v>
      </c>
    </row>
    <row r="9">
      <c r="A9" s="16"/>
      <c r="B9" s="15" t="s">
        <v>23</v>
      </c>
      <c r="C9" s="5">
        <f>25</f>
        <v>25</v>
      </c>
      <c r="D9" s="5">
        <v>6.0</v>
      </c>
      <c r="E9" s="6">
        <f t="shared" si="2"/>
        <v>19</v>
      </c>
    </row>
    <row r="10">
      <c r="A10" s="16"/>
      <c r="B10" s="4" t="s">
        <v>44</v>
      </c>
      <c r="C10" s="5">
        <v>10.0</v>
      </c>
      <c r="D10" s="5"/>
      <c r="E10" s="54">
        <f>C10</f>
        <v>10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6.0</v>
      </c>
      <c r="E11" s="6">
        <f t="shared" ref="E11:E12" si="3">C11-D11</f>
        <v>19</v>
      </c>
    </row>
    <row r="12">
      <c r="A12" s="16"/>
      <c r="B12" s="15" t="s">
        <v>25</v>
      </c>
      <c r="C12" s="5">
        <v>35.0</v>
      </c>
      <c r="D12" s="5">
        <v>7.0</v>
      </c>
      <c r="E12" s="6">
        <f t="shared" si="3"/>
        <v>28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93</v>
      </c>
    </row>
    <row r="15">
      <c r="A15" s="14" t="s">
        <v>27</v>
      </c>
      <c r="B15" s="15" t="s">
        <v>28</v>
      </c>
      <c r="C15" s="6">
        <v>236.0</v>
      </c>
      <c r="D15" s="5">
        <v>54.0</v>
      </c>
      <c r="E15" s="6">
        <f t="shared" ref="E15:E17" si="4">C15-D15</f>
        <v>182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64.0</v>
      </c>
      <c r="E17" s="6">
        <f t="shared" si="4"/>
        <v>74</v>
      </c>
    </row>
    <row r="18">
      <c r="A18" s="16"/>
      <c r="B18" s="24" t="s">
        <v>31</v>
      </c>
      <c r="C18" s="25">
        <v>24.0</v>
      </c>
      <c r="D18" s="5">
        <v>24.0</v>
      </c>
      <c r="E18" s="54">
        <f>C18-D19</f>
        <v>24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280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15.0</v>
      </c>
      <c r="E21" s="6">
        <f t="shared" ref="E21:E23" si="5">C21-D21</f>
        <v>3</v>
      </c>
      <c r="F21" s="12"/>
    </row>
    <row r="22">
      <c r="A22" s="16"/>
      <c r="B22" s="28" t="s">
        <v>35</v>
      </c>
      <c r="C22" s="5">
        <v>23.0</v>
      </c>
      <c r="D22" s="5">
        <v>15.0</v>
      </c>
      <c r="E22" s="6">
        <f t="shared" si="5"/>
        <v>8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18.0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34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922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17.0</v>
      </c>
      <c r="E2" s="6">
        <f t="shared" ref="E2:E5" si="1">C2-D2</f>
        <v>91</v>
      </c>
    </row>
    <row r="3">
      <c r="A3" s="16"/>
      <c r="B3" s="15" t="s">
        <v>17</v>
      </c>
      <c r="C3" s="6">
        <v>104.0</v>
      </c>
      <c r="D3" s="5">
        <v>5.0</v>
      </c>
      <c r="E3" s="6">
        <f t="shared" si="1"/>
        <v>99</v>
      </c>
    </row>
    <row r="4">
      <c r="A4" s="16"/>
      <c r="B4" s="15" t="s">
        <v>18</v>
      </c>
      <c r="C4" s="6">
        <v>306.0</v>
      </c>
      <c r="D4" s="64">
        <v>56.0</v>
      </c>
      <c r="E4" s="6">
        <f t="shared" si="1"/>
        <v>250</v>
      </c>
    </row>
    <row r="5">
      <c r="A5" s="16"/>
      <c r="B5" s="15" t="s">
        <v>19</v>
      </c>
      <c r="C5" s="6">
        <v>35.0</v>
      </c>
      <c r="D5" s="5">
        <v>9.0</v>
      </c>
      <c r="E5" s="6">
        <f t="shared" si="1"/>
        <v>26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466</v>
      </c>
    </row>
    <row r="8">
      <c r="A8" s="14" t="s">
        <v>21</v>
      </c>
      <c r="B8" s="15" t="s">
        <v>22</v>
      </c>
      <c r="C8" s="5">
        <v>35.0</v>
      </c>
      <c r="D8" s="5">
        <v>24.0</v>
      </c>
      <c r="E8" s="6">
        <f t="shared" ref="E8:E9" si="2">C8-D8</f>
        <v>11</v>
      </c>
    </row>
    <row r="9">
      <c r="A9" s="16"/>
      <c r="B9" s="15" t="s">
        <v>23</v>
      </c>
      <c r="C9" s="5">
        <f>25</f>
        <v>25</v>
      </c>
      <c r="D9" s="5">
        <v>17.0</v>
      </c>
      <c r="E9" s="6">
        <f t="shared" si="2"/>
        <v>8</v>
      </c>
    </row>
    <row r="10">
      <c r="A10" s="16"/>
      <c r="B10" s="4" t="s">
        <v>44</v>
      </c>
      <c r="C10" s="5">
        <v>4.0</v>
      </c>
      <c r="D10" s="5"/>
      <c r="E10" s="54">
        <f>C10</f>
        <v>4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19.0</v>
      </c>
      <c r="E11" s="6">
        <f t="shared" ref="E11:E12" si="3">C11-D11</f>
        <v>6</v>
      </c>
    </row>
    <row r="12">
      <c r="A12" s="16"/>
      <c r="B12" s="15" t="s">
        <v>25</v>
      </c>
      <c r="C12" s="5">
        <v>35.0</v>
      </c>
      <c r="D12" s="5">
        <v>20.0</v>
      </c>
      <c r="E12" s="6">
        <f t="shared" si="3"/>
        <v>15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44</v>
      </c>
    </row>
    <row r="15">
      <c r="A15" s="14" t="s">
        <v>27</v>
      </c>
      <c r="B15" s="15" t="s">
        <v>28</v>
      </c>
      <c r="C15" s="6">
        <v>236.0</v>
      </c>
      <c r="D15" s="5">
        <v>113.0</v>
      </c>
      <c r="E15" s="6">
        <f t="shared" ref="E15:E17" si="4">C15-D15</f>
        <v>123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96.0</v>
      </c>
      <c r="E17" s="6">
        <f t="shared" si="4"/>
        <v>42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165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18.0</v>
      </c>
      <c r="E21" s="6">
        <f t="shared" ref="E21:E23" si="5">C21-D21</f>
        <v>0</v>
      </c>
      <c r="F21" s="12"/>
    </row>
    <row r="22">
      <c r="A22" s="16"/>
      <c r="B22" s="28" t="s">
        <v>35</v>
      </c>
      <c r="C22" s="5">
        <v>23.0</v>
      </c>
      <c r="D22" s="5">
        <v>23.0</v>
      </c>
      <c r="E22" s="6">
        <f t="shared" si="5"/>
        <v>0</v>
      </c>
      <c r="F22" s="12"/>
    </row>
    <row r="23">
      <c r="A23" s="16"/>
      <c r="B23" s="28" t="s">
        <v>36</v>
      </c>
      <c r="C23" s="5">
        <v>18.0</v>
      </c>
      <c r="D23" s="5">
        <v>16.0</v>
      </c>
      <c r="E23" s="6">
        <f t="shared" si="5"/>
        <v>2</v>
      </c>
      <c r="F23" s="12"/>
    </row>
    <row r="24">
      <c r="A24" s="16"/>
      <c r="B24" s="28" t="s">
        <v>37</v>
      </c>
      <c r="C24" s="5">
        <v>23.0</v>
      </c>
      <c r="D24" s="5">
        <v>22.0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25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763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6.0</v>
      </c>
      <c r="E2" s="6">
        <f t="shared" ref="E2:E5" si="1">C2-D2</f>
        <v>102</v>
      </c>
    </row>
    <row r="3">
      <c r="A3" s="16"/>
      <c r="B3" s="15" t="s">
        <v>17</v>
      </c>
      <c r="C3" s="6">
        <v>104.0</v>
      </c>
      <c r="D3" s="5">
        <v>3.0</v>
      </c>
      <c r="E3" s="6">
        <f t="shared" si="1"/>
        <v>101</v>
      </c>
    </row>
    <row r="4">
      <c r="A4" s="16"/>
      <c r="B4" s="15" t="s">
        <v>18</v>
      </c>
      <c r="C4" s="6">
        <v>306.0</v>
      </c>
      <c r="D4" s="5">
        <v>0.0</v>
      </c>
      <c r="E4" s="6">
        <f t="shared" si="1"/>
        <v>306</v>
      </c>
    </row>
    <row r="5">
      <c r="A5" s="16"/>
      <c r="B5" s="15" t="s">
        <v>19</v>
      </c>
      <c r="C5" s="6">
        <v>35.0</v>
      </c>
      <c r="D5" s="5">
        <v>6.0</v>
      </c>
      <c r="E5" s="6">
        <f t="shared" si="1"/>
        <v>29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538</v>
      </c>
    </row>
    <row r="8">
      <c r="A8" s="14" t="s">
        <v>21</v>
      </c>
      <c r="B8" s="15" t="s">
        <v>22</v>
      </c>
      <c r="C8" s="5">
        <v>35.0</v>
      </c>
      <c r="D8" s="5">
        <v>5.0</v>
      </c>
      <c r="E8" s="6">
        <f t="shared" ref="E8:E9" si="2">C8-D8</f>
        <v>30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/>
      <c r="D10" s="5"/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4.0</v>
      </c>
      <c r="E11" s="6">
        <f t="shared" ref="E11:E12" si="3">C11-D11</f>
        <v>21</v>
      </c>
    </row>
    <row r="12">
      <c r="A12" s="16"/>
      <c r="B12" s="15" t="s">
        <v>25</v>
      </c>
      <c r="C12" s="5">
        <v>35.0</v>
      </c>
      <c r="D12" s="5">
        <v>4.0</v>
      </c>
      <c r="E12" s="6">
        <f t="shared" si="3"/>
        <v>31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104</v>
      </c>
    </row>
    <row r="15">
      <c r="A15" s="14" t="s">
        <v>27</v>
      </c>
      <c r="B15" s="15" t="s">
        <v>28</v>
      </c>
      <c r="C15" s="6">
        <v>236.0</v>
      </c>
      <c r="D15" s="5">
        <v>6.0</v>
      </c>
      <c r="E15" s="6">
        <f t="shared" ref="E15:E17" si="4">C15-D15</f>
        <v>230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7.0</v>
      </c>
      <c r="E17" s="6">
        <f t="shared" si="4"/>
        <v>131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361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3.0</v>
      </c>
      <c r="E21" s="6">
        <f t="shared" ref="E21:E23" si="5">C21-D21</f>
        <v>15</v>
      </c>
      <c r="F21" s="12"/>
    </row>
    <row r="22">
      <c r="A22" s="16"/>
      <c r="B22" s="28" t="s">
        <v>35</v>
      </c>
      <c r="C22" s="5">
        <v>23.0</v>
      </c>
      <c r="D22" s="5">
        <v>4.0</v>
      </c>
      <c r="E22" s="6">
        <f t="shared" si="5"/>
        <v>19</v>
      </c>
      <c r="F22" s="12"/>
    </row>
    <row r="23">
      <c r="A23" s="16"/>
      <c r="B23" s="28" t="s">
        <v>36</v>
      </c>
      <c r="C23" s="5">
        <v>18.0</v>
      </c>
      <c r="D23" s="5">
        <v>7.0</v>
      </c>
      <c r="E23" s="6">
        <f t="shared" si="5"/>
        <v>11</v>
      </c>
      <c r="F23" s="12"/>
    </row>
    <row r="24">
      <c r="A24" s="16"/>
      <c r="B24" s="28" t="s">
        <v>37</v>
      </c>
      <c r="C24" s="5">
        <v>23.0</v>
      </c>
      <c r="D24" s="5">
        <v>3.0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68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24.0</v>
      </c>
      <c r="E31" s="6">
        <f>C31-D31</f>
        <v>0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0</v>
      </c>
    </row>
    <row r="34">
      <c r="A34" s="30" t="s">
        <v>40</v>
      </c>
      <c r="B34" s="4" t="s">
        <v>41</v>
      </c>
      <c r="C34" s="5">
        <v>39.0</v>
      </c>
      <c r="D34" s="5">
        <v>24.0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1110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10.0</v>
      </c>
      <c r="E2" s="6">
        <f t="shared" ref="E2:E5" si="1">C2-D2</f>
        <v>98</v>
      </c>
    </row>
    <row r="3">
      <c r="A3" s="16"/>
      <c r="B3" s="15" t="s">
        <v>17</v>
      </c>
      <c r="C3" s="6">
        <v>104.0</v>
      </c>
      <c r="D3" s="5">
        <v>0.0</v>
      </c>
      <c r="E3" s="6">
        <f t="shared" si="1"/>
        <v>104</v>
      </c>
    </row>
    <row r="4">
      <c r="A4" s="16"/>
      <c r="B4" s="15" t="s">
        <v>18</v>
      </c>
      <c r="C4" s="6">
        <v>306.0</v>
      </c>
      <c r="D4" s="5">
        <v>18.0</v>
      </c>
      <c r="E4" s="6">
        <f t="shared" si="1"/>
        <v>288</v>
      </c>
    </row>
    <row r="5">
      <c r="A5" s="16"/>
      <c r="B5" s="15" t="s">
        <v>19</v>
      </c>
      <c r="C5" s="6">
        <v>35.0</v>
      </c>
      <c r="D5" s="5">
        <v>0.0</v>
      </c>
      <c r="E5" s="6">
        <f t="shared" si="1"/>
        <v>35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525</v>
      </c>
    </row>
    <row r="8">
      <c r="A8" s="14" t="s">
        <v>21</v>
      </c>
      <c r="B8" s="15" t="s">
        <v>22</v>
      </c>
      <c r="C8" s="5">
        <v>35.0</v>
      </c>
      <c r="D8" s="5">
        <v>14.0</v>
      </c>
      <c r="E8" s="6">
        <f t="shared" ref="E8:E9" si="2">C8-D8</f>
        <v>21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>
        <v>8.0</v>
      </c>
      <c r="D10" s="5">
        <v>8.0</v>
      </c>
      <c r="E10" s="54">
        <f>C10</f>
        <v>8</v>
      </c>
      <c r="F10" s="27" t="s">
        <v>45</v>
      </c>
    </row>
    <row r="11">
      <c r="A11" s="16"/>
      <c r="B11" s="15" t="s">
        <v>24</v>
      </c>
      <c r="C11" s="5">
        <v>25.0</v>
      </c>
      <c r="D11" s="5">
        <v>6.0</v>
      </c>
      <c r="E11" s="6">
        <f t="shared" ref="E11:E12" si="3">C11-D11</f>
        <v>19</v>
      </c>
    </row>
    <row r="12">
      <c r="A12" s="16"/>
      <c r="B12" s="15" t="s">
        <v>25</v>
      </c>
      <c r="C12" s="5">
        <v>35.0</v>
      </c>
      <c r="D12" s="5">
        <v>12.0</v>
      </c>
      <c r="E12" s="6">
        <f t="shared" si="3"/>
        <v>23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93</v>
      </c>
    </row>
    <row r="15">
      <c r="A15" s="14" t="s">
        <v>27</v>
      </c>
      <c r="B15" s="15" t="s">
        <v>28</v>
      </c>
      <c r="C15" s="6">
        <v>236.0</v>
      </c>
      <c r="D15" s="5">
        <v>31.0</v>
      </c>
      <c r="E15" s="6">
        <f t="shared" ref="E15:E17" si="4">C15-D15</f>
        <v>205</v>
      </c>
    </row>
    <row r="16">
      <c r="A16" s="16"/>
      <c r="B16" s="15" t="s">
        <v>29</v>
      </c>
      <c r="C16" s="5">
        <v>0.0</v>
      </c>
      <c r="D16" s="5">
        <v>0.0</v>
      </c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9.0</v>
      </c>
      <c r="E17" s="6">
        <f t="shared" si="4"/>
        <v>129</v>
      </c>
    </row>
    <row r="18">
      <c r="A18" s="16"/>
      <c r="B18" s="24" t="s">
        <v>31</v>
      </c>
      <c r="C18" s="25">
        <v>0.0</v>
      </c>
      <c r="D18" s="26">
        <v>0.0</v>
      </c>
      <c r="E18" s="54">
        <f>C18-D19</f>
        <v>0</v>
      </c>
      <c r="F18" s="27" t="s">
        <v>46</v>
      </c>
    </row>
    <row r="19">
      <c r="A19" s="16"/>
      <c r="B19" s="28" t="s">
        <v>43</v>
      </c>
      <c r="C19" s="29">
        <v>0.0</v>
      </c>
      <c r="D19" s="26">
        <v>0.0</v>
      </c>
      <c r="E19" s="31">
        <f>C19</f>
        <v>0</v>
      </c>
      <c r="F19" s="12"/>
    </row>
    <row r="20">
      <c r="A20" s="18"/>
      <c r="B20" s="23" t="s">
        <v>32</v>
      </c>
      <c r="C20" s="20"/>
      <c r="D20" s="21"/>
      <c r="E20" s="22">
        <f>SUM(E15:E19)</f>
        <v>334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8.0</v>
      </c>
      <c r="E21" s="6">
        <f t="shared" ref="E21:E23" si="5">C21-D21</f>
        <v>10</v>
      </c>
      <c r="F21" s="12"/>
    </row>
    <row r="22">
      <c r="A22" s="16"/>
      <c r="B22" s="28" t="s">
        <v>35</v>
      </c>
      <c r="C22" s="5">
        <v>23.0</v>
      </c>
      <c r="D22" s="5">
        <v>2.0</v>
      </c>
      <c r="E22" s="6">
        <f t="shared" si="5"/>
        <v>21</v>
      </c>
      <c r="F22" s="12"/>
    </row>
    <row r="23">
      <c r="A23" s="16"/>
      <c r="B23" s="28" t="s">
        <v>36</v>
      </c>
      <c r="C23" s="5">
        <v>18.0</v>
      </c>
      <c r="D23" s="5">
        <v>1.0</v>
      </c>
      <c r="E23" s="6">
        <f t="shared" si="5"/>
        <v>17</v>
      </c>
      <c r="F23" s="12"/>
    </row>
    <row r="24">
      <c r="A24" s="16"/>
      <c r="B24" s="28" t="s">
        <v>37</v>
      </c>
      <c r="C24" s="5">
        <v>23.0</v>
      </c>
      <c r="D24" s="5">
        <v>3.0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71</v>
      </c>
      <c r="F26" s="12"/>
    </row>
    <row r="27">
      <c r="A27" s="30" t="s">
        <v>38</v>
      </c>
      <c r="B27" s="24" t="s">
        <v>50</v>
      </c>
      <c r="C27" s="38"/>
      <c r="D27" s="5"/>
      <c r="E27" s="38">
        <f>C27-D27</f>
        <v>0</v>
      </c>
      <c r="F27" s="27" t="s">
        <v>46</v>
      </c>
    </row>
    <row r="28">
      <c r="A28" s="16"/>
      <c r="B28" s="36" t="s">
        <v>51</v>
      </c>
      <c r="C28" s="37">
        <v>0.0</v>
      </c>
      <c r="D28" s="37">
        <v>0.0</v>
      </c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0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24.0</v>
      </c>
      <c r="D34" s="5">
        <v>0.0</v>
      </c>
      <c r="E34" s="6">
        <f>C34-D42</f>
        <v>24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24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1071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4.0</v>
      </c>
      <c r="E2" s="6">
        <f t="shared" ref="E2:E5" si="1">C2-D2</f>
        <v>104</v>
      </c>
    </row>
    <row r="3">
      <c r="A3" s="16"/>
      <c r="B3" s="15" t="s">
        <v>17</v>
      </c>
      <c r="C3" s="6">
        <v>104.0</v>
      </c>
      <c r="D3" s="5">
        <v>6.0</v>
      </c>
      <c r="E3" s="6">
        <f t="shared" si="1"/>
        <v>98</v>
      </c>
    </row>
    <row r="4">
      <c r="A4" s="16"/>
      <c r="B4" s="15" t="s">
        <v>18</v>
      </c>
      <c r="C4" s="6">
        <v>306.0</v>
      </c>
      <c r="D4" s="5">
        <v>21.0</v>
      </c>
      <c r="E4" s="6">
        <f t="shared" si="1"/>
        <v>285</v>
      </c>
    </row>
    <row r="5">
      <c r="A5" s="16"/>
      <c r="B5" s="15" t="s">
        <v>19</v>
      </c>
      <c r="C5" s="6">
        <v>35.0</v>
      </c>
      <c r="D5" s="5">
        <v>2.0</v>
      </c>
      <c r="E5" s="6">
        <f t="shared" si="1"/>
        <v>33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520</v>
      </c>
    </row>
    <row r="8">
      <c r="A8" s="14" t="s">
        <v>21</v>
      </c>
      <c r="B8" s="15" t="s">
        <v>22</v>
      </c>
      <c r="C8" s="5">
        <v>35.0</v>
      </c>
      <c r="D8" s="5">
        <v>8.0</v>
      </c>
      <c r="E8" s="6">
        <f t="shared" ref="E8:E9" si="2">C8-D8</f>
        <v>27</v>
      </c>
    </row>
    <row r="9">
      <c r="A9" s="16"/>
      <c r="B9" s="15" t="s">
        <v>23</v>
      </c>
      <c r="C9" s="5">
        <f>25</f>
        <v>25</v>
      </c>
      <c r="D9" s="5">
        <v>3.0</v>
      </c>
      <c r="E9" s="6">
        <f t="shared" si="2"/>
        <v>22</v>
      </c>
    </row>
    <row r="10">
      <c r="A10" s="16"/>
      <c r="B10" s="4" t="s">
        <v>44</v>
      </c>
      <c r="C10" s="5"/>
      <c r="D10" s="5">
        <v>6.0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4.0</v>
      </c>
      <c r="E11" s="6">
        <f t="shared" ref="E11:E12" si="3">C11-D11</f>
        <v>21</v>
      </c>
    </row>
    <row r="12">
      <c r="A12" s="16"/>
      <c r="B12" s="15" t="s">
        <v>25</v>
      </c>
      <c r="C12" s="5">
        <v>35.0</v>
      </c>
      <c r="D12" s="5">
        <v>5.0</v>
      </c>
      <c r="E12" s="6">
        <f t="shared" si="3"/>
        <v>30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100</v>
      </c>
    </row>
    <row r="15">
      <c r="A15" s="14" t="s">
        <v>27</v>
      </c>
      <c r="B15" s="15" t="s">
        <v>28</v>
      </c>
      <c r="C15" s="6">
        <v>236.0</v>
      </c>
      <c r="D15" s="5">
        <v>24.0</v>
      </c>
      <c r="E15" s="6">
        <f t="shared" ref="E15:E17" si="4">C15-D15</f>
        <v>212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29.0</v>
      </c>
      <c r="E17" s="6">
        <f t="shared" si="4"/>
        <v>109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23" t="s">
        <v>32</v>
      </c>
      <c r="C20" s="20"/>
      <c r="D20" s="21"/>
      <c r="E20" s="22">
        <f>SUM(E15:E19)</f>
        <v>321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9.0</v>
      </c>
      <c r="E21" s="6">
        <f t="shared" ref="E21:E23" si="5">C21-D21</f>
        <v>9</v>
      </c>
      <c r="F21" s="12"/>
    </row>
    <row r="22">
      <c r="A22" s="16"/>
      <c r="B22" s="28" t="s">
        <v>35</v>
      </c>
      <c r="C22" s="5">
        <v>23.0</v>
      </c>
      <c r="D22" s="5">
        <v>12.0</v>
      </c>
      <c r="E22" s="6">
        <f t="shared" si="5"/>
        <v>11</v>
      </c>
      <c r="F22" s="12"/>
    </row>
    <row r="23">
      <c r="A23" s="16"/>
      <c r="B23" s="28" t="s">
        <v>36</v>
      </c>
      <c r="C23" s="5">
        <v>18.0</v>
      </c>
      <c r="D23" s="5">
        <v>8.0</v>
      </c>
      <c r="E23" s="6">
        <f t="shared" si="5"/>
        <v>10</v>
      </c>
      <c r="F23" s="12"/>
    </row>
    <row r="24">
      <c r="A24" s="16"/>
      <c r="B24" s="28" t="s">
        <v>37</v>
      </c>
      <c r="C24" s="5">
        <v>23.0</v>
      </c>
      <c r="D24" s="5">
        <v>0.0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53</v>
      </c>
      <c r="F26" s="12"/>
    </row>
    <row r="27">
      <c r="A27" s="30" t="s">
        <v>38</v>
      </c>
      <c r="B27" s="24" t="s">
        <v>50</v>
      </c>
      <c r="C27" s="38">
        <v>55.0</v>
      </c>
      <c r="D27" s="5"/>
      <c r="E27" s="38">
        <f>C27-D27</f>
        <v>55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55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1112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  <col customWidth="1" min="3" max="3" width="16.88"/>
    <col customWidth="1" min="4" max="4" width="17.0"/>
    <col customWidth="1" min="5" max="5" width="19.5"/>
    <col customWidth="1" min="6" max="6" width="28.63"/>
  </cols>
  <sheetData>
    <row r="1">
      <c r="A1" s="13"/>
      <c r="B1" s="2" t="s">
        <v>1</v>
      </c>
      <c r="C1" s="3" t="s">
        <v>2</v>
      </c>
      <c r="D1" s="3" t="s">
        <v>4</v>
      </c>
      <c r="E1" s="3" t="s">
        <v>5</v>
      </c>
    </row>
    <row r="2">
      <c r="A2" s="14" t="s">
        <v>15</v>
      </c>
      <c r="B2" s="15" t="s">
        <v>16</v>
      </c>
      <c r="C2" s="6">
        <v>108.0</v>
      </c>
      <c r="D2" s="5">
        <v>14.0</v>
      </c>
      <c r="E2" s="6">
        <f t="shared" ref="E2:E5" si="1">C2-D2</f>
        <v>94</v>
      </c>
    </row>
    <row r="3">
      <c r="A3" s="16"/>
      <c r="B3" s="15" t="s">
        <v>17</v>
      </c>
      <c r="C3" s="6">
        <v>104.0</v>
      </c>
      <c r="D3" s="5">
        <v>12.0</v>
      </c>
      <c r="E3" s="6">
        <f t="shared" si="1"/>
        <v>92</v>
      </c>
    </row>
    <row r="4">
      <c r="A4" s="16"/>
      <c r="B4" s="15" t="s">
        <v>18</v>
      </c>
      <c r="C4" s="6">
        <v>306.0</v>
      </c>
      <c r="D4" s="5">
        <v>44.0</v>
      </c>
      <c r="E4" s="6">
        <f t="shared" si="1"/>
        <v>262</v>
      </c>
    </row>
    <row r="5">
      <c r="A5" s="16"/>
      <c r="B5" s="15" t="s">
        <v>19</v>
      </c>
      <c r="C5" s="6">
        <v>35.0</v>
      </c>
      <c r="D5" s="5">
        <v>9.0</v>
      </c>
      <c r="E5" s="6">
        <f t="shared" si="1"/>
        <v>26</v>
      </c>
    </row>
    <row r="6">
      <c r="A6" s="16"/>
      <c r="B6" s="15" t="s">
        <v>43</v>
      </c>
      <c r="C6" s="17"/>
      <c r="D6" s="5"/>
      <c r="E6" s="6" t="str">
        <f>C6</f>
        <v/>
      </c>
    </row>
    <row r="7">
      <c r="A7" s="18"/>
      <c r="B7" s="19" t="s">
        <v>20</v>
      </c>
      <c r="C7" s="20"/>
      <c r="D7" s="21"/>
      <c r="E7" s="22">
        <f>SUM(E2:E6)</f>
        <v>474</v>
      </c>
    </row>
    <row r="8">
      <c r="A8" s="14" t="s">
        <v>21</v>
      </c>
      <c r="B8" s="15" t="s">
        <v>22</v>
      </c>
      <c r="C8" s="5">
        <v>35.0</v>
      </c>
      <c r="D8" s="5">
        <v>12.0</v>
      </c>
      <c r="E8" s="6">
        <f t="shared" ref="E8:E9" si="2">C8-D8</f>
        <v>23</v>
      </c>
    </row>
    <row r="9">
      <c r="A9" s="16"/>
      <c r="B9" s="15" t="s">
        <v>23</v>
      </c>
      <c r="C9" s="5">
        <f>25</f>
        <v>25</v>
      </c>
      <c r="D9" s="5">
        <v>10.0</v>
      </c>
      <c r="E9" s="6">
        <f t="shared" si="2"/>
        <v>15</v>
      </c>
    </row>
    <row r="10">
      <c r="A10" s="16"/>
      <c r="B10" s="4" t="s">
        <v>44</v>
      </c>
      <c r="C10" s="5"/>
      <c r="D10" s="5">
        <v>6.0</v>
      </c>
      <c r="E10" s="54" t="str">
        <f>C10</f>
        <v/>
      </c>
      <c r="F10" s="27" t="s">
        <v>45</v>
      </c>
    </row>
    <row r="11">
      <c r="A11" s="16"/>
      <c r="B11" s="15" t="s">
        <v>24</v>
      </c>
      <c r="C11" s="5">
        <v>25.0</v>
      </c>
      <c r="D11" s="5">
        <v>8.0</v>
      </c>
      <c r="E11" s="6">
        <f t="shared" ref="E11:E12" si="3">C11-D11</f>
        <v>17</v>
      </c>
    </row>
    <row r="12">
      <c r="A12" s="16"/>
      <c r="B12" s="15" t="s">
        <v>25</v>
      </c>
      <c r="C12" s="5">
        <v>35.0</v>
      </c>
      <c r="D12" s="5">
        <v>11.0</v>
      </c>
      <c r="E12" s="6">
        <f t="shared" si="3"/>
        <v>24</v>
      </c>
    </row>
    <row r="13">
      <c r="A13" s="16"/>
      <c r="B13" s="15" t="s">
        <v>43</v>
      </c>
      <c r="C13" s="17"/>
      <c r="D13" s="5"/>
      <c r="E13" s="5" t="str">
        <f>C13</f>
        <v/>
      </c>
    </row>
    <row r="14">
      <c r="A14" s="18"/>
      <c r="B14" s="19" t="s">
        <v>20</v>
      </c>
      <c r="C14" s="20"/>
      <c r="D14" s="21"/>
      <c r="E14" s="22">
        <f>SUM(E8:E13)</f>
        <v>79</v>
      </c>
    </row>
    <row r="15">
      <c r="A15" s="14" t="s">
        <v>27</v>
      </c>
      <c r="B15" s="15" t="s">
        <v>28</v>
      </c>
      <c r="C15" s="6">
        <v>236.0</v>
      </c>
      <c r="D15" s="5">
        <v>91.0</v>
      </c>
      <c r="E15" s="6">
        <f t="shared" ref="E15:E17" si="4">C15-D15</f>
        <v>145</v>
      </c>
    </row>
    <row r="16">
      <c r="A16" s="16"/>
      <c r="B16" s="15" t="s">
        <v>29</v>
      </c>
      <c r="C16" s="5"/>
      <c r="D16" s="5"/>
      <c r="E16" s="6">
        <f t="shared" si="4"/>
        <v>0</v>
      </c>
    </row>
    <row r="17">
      <c r="A17" s="16"/>
      <c r="B17" s="4" t="s">
        <v>30</v>
      </c>
      <c r="C17" s="6">
        <v>138.0</v>
      </c>
      <c r="D17" s="5">
        <v>98.0</v>
      </c>
      <c r="E17" s="6">
        <f t="shared" si="4"/>
        <v>40</v>
      </c>
    </row>
    <row r="18">
      <c r="A18" s="16"/>
      <c r="B18" s="24" t="s">
        <v>31</v>
      </c>
      <c r="C18" s="25"/>
      <c r="D18" s="26"/>
      <c r="E18" s="54">
        <f>C18-D19</f>
        <v>0</v>
      </c>
      <c r="F18" s="27" t="s">
        <v>46</v>
      </c>
    </row>
    <row r="19">
      <c r="A19" s="16"/>
      <c r="B19" s="28" t="s">
        <v>43</v>
      </c>
      <c r="C19" s="29"/>
      <c r="D19" s="26"/>
      <c r="E19" s="31" t="str">
        <f>C19</f>
        <v/>
      </c>
      <c r="F19" s="12"/>
    </row>
    <row r="20">
      <c r="A20" s="18"/>
      <c r="B20" s="19" t="s">
        <v>20</v>
      </c>
      <c r="C20" s="20"/>
      <c r="D20" s="21"/>
      <c r="E20" s="22">
        <f>SUM(E15:E19)</f>
        <v>185</v>
      </c>
      <c r="F20" s="12"/>
    </row>
    <row r="21">
      <c r="A21" s="30" t="s">
        <v>33</v>
      </c>
      <c r="B21" s="28" t="s">
        <v>34</v>
      </c>
      <c r="C21" s="5">
        <v>18.0</v>
      </c>
      <c r="D21" s="5">
        <v>17.0</v>
      </c>
      <c r="E21" s="6">
        <f t="shared" ref="E21:E23" si="5">C21-D21</f>
        <v>1</v>
      </c>
      <c r="F21" s="12"/>
    </row>
    <row r="22">
      <c r="A22" s="16"/>
      <c r="B22" s="28" t="s">
        <v>35</v>
      </c>
      <c r="C22" s="5">
        <v>23.0</v>
      </c>
      <c r="D22" s="5">
        <v>23.0</v>
      </c>
      <c r="E22" s="6">
        <f t="shared" si="5"/>
        <v>0</v>
      </c>
      <c r="F22" s="12"/>
    </row>
    <row r="23">
      <c r="A23" s="16"/>
      <c r="B23" s="28" t="s">
        <v>36</v>
      </c>
      <c r="C23" s="5">
        <v>18.0</v>
      </c>
      <c r="D23" s="5">
        <v>18.0</v>
      </c>
      <c r="E23" s="6">
        <f t="shared" si="5"/>
        <v>0</v>
      </c>
      <c r="F23" s="12"/>
    </row>
    <row r="24">
      <c r="A24" s="16"/>
      <c r="B24" s="28" t="s">
        <v>37</v>
      </c>
      <c r="C24" s="5">
        <v>23.0</v>
      </c>
      <c r="D24" s="5">
        <v>23.0</v>
      </c>
      <c r="E24" s="6">
        <f>23</f>
        <v>23</v>
      </c>
      <c r="F24" s="12"/>
    </row>
    <row r="25">
      <c r="A25" s="16"/>
      <c r="B25" s="28" t="s">
        <v>43</v>
      </c>
      <c r="C25" s="17"/>
      <c r="D25" s="26"/>
      <c r="E25" s="31" t="str">
        <f>F19</f>
        <v/>
      </c>
      <c r="F25" s="12"/>
    </row>
    <row r="26">
      <c r="A26" s="18"/>
      <c r="B26" s="32" t="s">
        <v>20</v>
      </c>
      <c r="C26" s="33"/>
      <c r="D26" s="34"/>
      <c r="E26" s="35">
        <f>SUM(E21:E25)</f>
        <v>24</v>
      </c>
      <c r="F26" s="12"/>
    </row>
    <row r="27">
      <c r="A27" s="30" t="s">
        <v>38</v>
      </c>
      <c r="B27" s="24" t="s">
        <v>50</v>
      </c>
      <c r="C27" s="38">
        <v>55.0</v>
      </c>
      <c r="D27" s="5"/>
      <c r="E27" s="38">
        <f>C27-D27</f>
        <v>55</v>
      </c>
      <c r="F27" s="27" t="s">
        <v>46</v>
      </c>
    </row>
    <row r="28">
      <c r="A28" s="16"/>
      <c r="B28" s="36" t="s">
        <v>51</v>
      </c>
      <c r="C28" s="37">
        <v>0.0</v>
      </c>
      <c r="D28" s="37"/>
      <c r="E28" s="57">
        <f>C28</f>
        <v>0</v>
      </c>
    </row>
    <row r="29">
      <c r="A29" s="16"/>
      <c r="B29" s="39" t="s">
        <v>48</v>
      </c>
      <c r="C29" s="40">
        <v>0.0</v>
      </c>
      <c r="D29" s="40"/>
      <c r="E29" s="57"/>
    </row>
    <row r="30">
      <c r="A30" s="18"/>
      <c r="B30" s="41" t="s">
        <v>20</v>
      </c>
      <c r="C30" s="33"/>
      <c r="D30" s="34"/>
      <c r="E30" s="56">
        <f>sum(E27:E28)</f>
        <v>55</v>
      </c>
    </row>
    <row r="31">
      <c r="A31" s="30" t="s">
        <v>49</v>
      </c>
      <c r="B31" s="4" t="s">
        <v>41</v>
      </c>
      <c r="C31" s="5">
        <v>24.0</v>
      </c>
      <c r="D31" s="5">
        <v>0.0</v>
      </c>
      <c r="E31" s="6">
        <f>C31-D31</f>
        <v>24</v>
      </c>
    </row>
    <row r="32">
      <c r="A32" s="16"/>
      <c r="B32" s="43"/>
      <c r="C32" s="44"/>
      <c r="D32" s="40"/>
      <c r="E32" s="6"/>
    </row>
    <row r="33">
      <c r="A33" s="18"/>
      <c r="B33" s="55" t="s">
        <v>32</v>
      </c>
      <c r="C33" s="33"/>
      <c r="D33" s="34"/>
      <c r="E33" s="56">
        <f>sum(E31:E32)</f>
        <v>24</v>
      </c>
    </row>
    <row r="34">
      <c r="A34" s="30" t="s">
        <v>40</v>
      </c>
      <c r="B34" s="4" t="s">
        <v>41</v>
      </c>
      <c r="C34" s="5">
        <v>39.0</v>
      </c>
      <c r="D34" s="5">
        <v>0.0</v>
      </c>
      <c r="E34" s="6">
        <f>C34-D42</f>
        <v>39</v>
      </c>
    </row>
    <row r="35">
      <c r="A35" s="16"/>
      <c r="B35" s="43"/>
      <c r="C35" s="44"/>
      <c r="D35" s="40"/>
      <c r="E35" s="6"/>
    </row>
    <row r="36">
      <c r="A36" s="18"/>
      <c r="B36" s="32" t="s">
        <v>20</v>
      </c>
      <c r="C36" s="33"/>
      <c r="D36" s="34"/>
      <c r="E36" s="22">
        <f>sum(E34:E35)</f>
        <v>39</v>
      </c>
    </row>
    <row r="37">
      <c r="A37" s="45"/>
    </row>
    <row r="38">
      <c r="A38" s="46" t="s">
        <v>42</v>
      </c>
      <c r="B38" s="33"/>
      <c r="C38" s="33"/>
      <c r="D38" s="47"/>
      <c r="E38" s="48">
        <f>E7+E14+E20+E26+E30+E33+E36</f>
        <v>880</v>
      </c>
    </row>
    <row r="39">
      <c r="A39" s="49"/>
      <c r="B39" s="49"/>
      <c r="C39" s="49"/>
      <c r="D39" s="50"/>
      <c r="E39" s="49"/>
    </row>
    <row r="41">
      <c r="B41" s="58"/>
      <c r="C41" s="59"/>
      <c r="D41" s="60"/>
    </row>
    <row r="42">
      <c r="B42" s="61"/>
      <c r="C42" s="62"/>
      <c r="D42" s="63"/>
    </row>
  </sheetData>
  <mergeCells count="17">
    <mergeCell ref="A21:A26"/>
    <mergeCell ref="A27:A30"/>
    <mergeCell ref="A31:A33"/>
    <mergeCell ref="A34:A36"/>
    <mergeCell ref="B30:D30"/>
    <mergeCell ref="B33:D33"/>
    <mergeCell ref="B36:D36"/>
    <mergeCell ref="A37:E37"/>
    <mergeCell ref="A38:D38"/>
    <mergeCell ref="C42:D42"/>
    <mergeCell ref="A2:A7"/>
    <mergeCell ref="B7:D7"/>
    <mergeCell ref="A8:A14"/>
    <mergeCell ref="B14:D14"/>
    <mergeCell ref="A15:A20"/>
    <mergeCell ref="B20:D20"/>
    <mergeCell ref="B26:D26"/>
  </mergeCell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5" t="s">
        <v>52</v>
      </c>
      <c r="B1" s="65" t="s">
        <v>53</v>
      </c>
      <c r="C1" s="65" t="s">
        <v>54</v>
      </c>
      <c r="D1" s="65" t="s">
        <v>55</v>
      </c>
      <c r="E1" s="65" t="s">
        <v>56</v>
      </c>
      <c r="F1" s="65" t="s">
        <v>57</v>
      </c>
      <c r="G1" s="65" t="s">
        <v>58</v>
      </c>
      <c r="H1" s="65" t="s">
        <v>59</v>
      </c>
      <c r="I1" s="66" t="s">
        <v>60</v>
      </c>
      <c r="J1" s="67"/>
      <c r="K1" s="67"/>
      <c r="L1" s="67"/>
      <c r="M1" s="67"/>
      <c r="N1" s="63"/>
    </row>
    <row r="2">
      <c r="A2" s="68">
        <v>45662.0</v>
      </c>
      <c r="B2" s="69">
        <v>0.0</v>
      </c>
      <c r="C2" s="69">
        <v>0.0</v>
      </c>
      <c r="D2" s="69">
        <v>1026.0</v>
      </c>
      <c r="E2" s="69">
        <v>0.0</v>
      </c>
      <c r="F2" s="69">
        <v>1243.0</v>
      </c>
      <c r="G2" s="69">
        <v>0.0</v>
      </c>
      <c r="H2" s="69">
        <v>2269.0</v>
      </c>
      <c r="I2" s="70"/>
      <c r="J2" s="70"/>
      <c r="K2" s="70"/>
      <c r="L2" s="70"/>
      <c r="M2" s="70"/>
      <c r="N2" s="70"/>
    </row>
    <row r="3">
      <c r="A3" s="68">
        <v>45669.0</v>
      </c>
      <c r="B3" s="69">
        <v>1434.0</v>
      </c>
      <c r="C3" s="69">
        <v>718.0</v>
      </c>
      <c r="D3" s="69">
        <v>1100.0</v>
      </c>
      <c r="E3" s="69">
        <v>0.0</v>
      </c>
      <c r="F3" s="69">
        <v>1178.0</v>
      </c>
      <c r="G3" s="69">
        <v>0.0</v>
      </c>
      <c r="H3" s="69">
        <v>4430.0</v>
      </c>
      <c r="I3" s="70"/>
      <c r="J3" s="70"/>
      <c r="K3" s="70"/>
      <c r="L3" s="70"/>
      <c r="M3" s="70"/>
      <c r="N3" s="70"/>
    </row>
    <row r="4">
      <c r="A4" s="68">
        <v>45676.0</v>
      </c>
      <c r="B4" s="69">
        <v>887.0</v>
      </c>
      <c r="C4" s="69">
        <v>770.0</v>
      </c>
      <c r="D4" s="69">
        <v>938.0</v>
      </c>
      <c r="E4" s="69">
        <v>0.0</v>
      </c>
      <c r="F4" s="69">
        <v>1257.0</v>
      </c>
      <c r="G4" s="69">
        <v>0.0</v>
      </c>
      <c r="H4" s="69">
        <v>3852.0</v>
      </c>
      <c r="I4" s="70"/>
      <c r="J4" s="70"/>
      <c r="K4" s="70"/>
      <c r="L4" s="70"/>
      <c r="M4" s="70"/>
      <c r="N4" s="70"/>
    </row>
    <row r="5">
      <c r="A5" s="68">
        <v>45690.0</v>
      </c>
      <c r="B5" s="69">
        <v>875.0</v>
      </c>
      <c r="C5" s="69">
        <v>890.0</v>
      </c>
      <c r="D5" s="69">
        <v>908.0</v>
      </c>
      <c r="E5" s="69">
        <v>0.0</v>
      </c>
      <c r="F5" s="69">
        <v>1172.0</v>
      </c>
      <c r="G5" s="69">
        <v>0.0</v>
      </c>
      <c r="H5" s="69">
        <v>3845.0</v>
      </c>
      <c r="I5" s="70"/>
      <c r="J5" s="70"/>
      <c r="K5" s="70"/>
      <c r="L5" s="70"/>
      <c r="M5" s="70"/>
      <c r="N5" s="70"/>
    </row>
    <row r="6">
      <c r="A6" s="68">
        <v>45697.0</v>
      </c>
      <c r="B6" s="69">
        <v>765.0</v>
      </c>
      <c r="C6" s="69">
        <v>728.0</v>
      </c>
      <c r="D6" s="69">
        <v>940.0</v>
      </c>
      <c r="E6" s="69">
        <v>0.0</v>
      </c>
      <c r="F6" s="69">
        <v>1168.0</v>
      </c>
      <c r="G6" s="69">
        <v>0.0</v>
      </c>
      <c r="H6" s="69">
        <v>3601.0</v>
      </c>
      <c r="I6" s="70"/>
      <c r="J6" s="70"/>
      <c r="K6" s="70"/>
      <c r="L6" s="70"/>
      <c r="M6" s="70"/>
      <c r="N6" s="70"/>
    </row>
    <row r="7">
      <c r="A7" s="68">
        <v>45704.0</v>
      </c>
      <c r="B7" s="69">
        <v>888.0</v>
      </c>
      <c r="C7" s="69">
        <v>842.0</v>
      </c>
      <c r="D7" s="69">
        <v>956.0</v>
      </c>
      <c r="E7" s="69">
        <v>0.0</v>
      </c>
      <c r="F7" s="69">
        <v>1103.0</v>
      </c>
      <c r="G7" s="69">
        <v>0.0</v>
      </c>
      <c r="H7" s="69">
        <v>3789.0</v>
      </c>
      <c r="I7" s="70"/>
      <c r="J7" s="70"/>
      <c r="K7" s="70"/>
      <c r="L7" s="70"/>
      <c r="M7" s="70"/>
      <c r="N7" s="70"/>
    </row>
    <row r="8">
      <c r="A8" s="68">
        <v>45711.0</v>
      </c>
      <c r="B8" s="69">
        <v>830.0</v>
      </c>
      <c r="C8" s="69">
        <v>804.0</v>
      </c>
      <c r="D8" s="69">
        <v>1231.0</v>
      </c>
      <c r="E8" s="69">
        <v>0.0</v>
      </c>
      <c r="F8" s="69">
        <v>1145.0</v>
      </c>
      <c r="G8" s="69">
        <v>0.0</v>
      </c>
      <c r="H8" s="69">
        <v>4010.0</v>
      </c>
      <c r="I8" s="70"/>
      <c r="J8" s="70"/>
      <c r="K8" s="70"/>
      <c r="L8" s="70"/>
      <c r="M8" s="70"/>
      <c r="N8" s="70"/>
    </row>
    <row r="9">
      <c r="A9" s="68">
        <v>45725.0</v>
      </c>
      <c r="B9" s="69">
        <v>761.0</v>
      </c>
      <c r="C9" s="69">
        <v>840.0</v>
      </c>
      <c r="D9" s="69">
        <v>1207.0</v>
      </c>
      <c r="E9" s="69">
        <v>0.0</v>
      </c>
      <c r="F9" s="69">
        <v>1321.0</v>
      </c>
      <c r="G9" s="69">
        <v>0.0</v>
      </c>
      <c r="H9" s="69">
        <v>4129.0</v>
      </c>
      <c r="I9" s="70"/>
      <c r="J9" s="70"/>
      <c r="K9" s="70"/>
      <c r="L9" s="70"/>
      <c r="M9" s="70"/>
      <c r="N9" s="70"/>
    </row>
    <row r="10">
      <c r="A10" s="68">
        <v>45732.0</v>
      </c>
      <c r="B10" s="69">
        <v>967.0</v>
      </c>
      <c r="C10" s="69">
        <v>989.0</v>
      </c>
      <c r="D10" s="69">
        <v>777.0</v>
      </c>
      <c r="E10" s="69">
        <v>0.0</v>
      </c>
      <c r="F10" s="69">
        <v>1191.0</v>
      </c>
      <c r="G10" s="69">
        <v>0.0</v>
      </c>
      <c r="H10" s="69">
        <v>3924.0</v>
      </c>
      <c r="I10" s="70"/>
      <c r="J10" s="70"/>
      <c r="K10" s="70"/>
      <c r="L10" s="70"/>
      <c r="M10" s="70"/>
      <c r="N10" s="70"/>
    </row>
    <row r="11">
      <c r="A11" s="71">
        <v>45739.0</v>
      </c>
      <c r="B11" s="72">
        <v>548.0</v>
      </c>
      <c r="C11" s="72">
        <v>558.0</v>
      </c>
      <c r="D11" s="72">
        <v>0.0</v>
      </c>
      <c r="E11" s="72">
        <v>0.0</v>
      </c>
      <c r="F11" s="72">
        <v>0.0</v>
      </c>
      <c r="G11" s="72">
        <v>0.0</v>
      </c>
      <c r="H11" s="72">
        <v>1106.0</v>
      </c>
      <c r="I11" s="73" t="s">
        <v>61</v>
      </c>
      <c r="J11" s="67"/>
      <c r="K11" s="67"/>
      <c r="L11" s="67"/>
      <c r="M11" s="67"/>
      <c r="N11" s="63"/>
    </row>
    <row r="12">
      <c r="A12" s="68">
        <v>45746.0</v>
      </c>
      <c r="B12" s="69">
        <v>925.0</v>
      </c>
      <c r="C12" s="69">
        <v>884.0</v>
      </c>
      <c r="D12" s="69">
        <v>1028.0</v>
      </c>
      <c r="E12" s="69">
        <v>0.0</v>
      </c>
      <c r="F12" s="69">
        <v>1151.0</v>
      </c>
      <c r="G12" s="69">
        <v>0.0</v>
      </c>
      <c r="H12" s="69">
        <v>3988.0</v>
      </c>
      <c r="I12" s="70"/>
      <c r="J12" s="70"/>
      <c r="K12" s="70"/>
      <c r="L12" s="70"/>
      <c r="M12" s="70"/>
      <c r="N12" s="70"/>
    </row>
    <row r="13">
      <c r="A13" s="68">
        <v>45753.0</v>
      </c>
      <c r="B13" s="69">
        <v>1037.0</v>
      </c>
      <c r="C13" s="69">
        <v>1061.0</v>
      </c>
      <c r="D13" s="69">
        <v>1059.0</v>
      </c>
      <c r="E13" s="69">
        <v>0.0</v>
      </c>
      <c r="F13" s="69">
        <v>1250.0</v>
      </c>
      <c r="G13" s="69">
        <v>0.0</v>
      </c>
      <c r="H13" s="69">
        <v>4407.0</v>
      </c>
      <c r="I13" s="70"/>
      <c r="J13" s="70"/>
      <c r="K13" s="70"/>
      <c r="L13" s="70"/>
      <c r="M13" s="70"/>
      <c r="N13" s="70"/>
    </row>
    <row r="14">
      <c r="A14" s="68">
        <v>45760.0</v>
      </c>
      <c r="B14" s="69">
        <v>964.0</v>
      </c>
      <c r="C14" s="69">
        <v>957.0</v>
      </c>
      <c r="D14" s="69">
        <v>1152.0</v>
      </c>
      <c r="E14" s="69">
        <v>0.0</v>
      </c>
      <c r="F14" s="69">
        <v>1139.0</v>
      </c>
      <c r="G14" s="69">
        <v>0.0</v>
      </c>
      <c r="H14" s="69">
        <v>4212.0</v>
      </c>
      <c r="I14" s="70"/>
      <c r="J14" s="70"/>
      <c r="K14" s="70"/>
      <c r="L14" s="70"/>
      <c r="M14" s="70"/>
      <c r="N14" s="70"/>
    </row>
    <row r="15">
      <c r="A15" s="68">
        <v>45767.0</v>
      </c>
      <c r="B15" s="69">
        <v>935.0</v>
      </c>
      <c r="C15" s="69">
        <v>502.0</v>
      </c>
      <c r="D15" s="69">
        <v>865.0</v>
      </c>
      <c r="E15" s="69">
        <v>0.0</v>
      </c>
      <c r="F15" s="69">
        <v>1281.0</v>
      </c>
      <c r="G15" s="69">
        <v>0.0</v>
      </c>
      <c r="H15" s="69">
        <v>3583.0</v>
      </c>
      <c r="I15" s="70"/>
      <c r="J15" s="70"/>
      <c r="K15" s="70"/>
      <c r="L15" s="70"/>
      <c r="M15" s="70"/>
      <c r="N15" s="70"/>
    </row>
    <row r="16">
      <c r="A16" s="68">
        <v>45774.0</v>
      </c>
      <c r="B16" s="69">
        <v>861.0</v>
      </c>
      <c r="C16" s="69">
        <v>754.0</v>
      </c>
      <c r="D16" s="69">
        <v>1029.0</v>
      </c>
      <c r="E16" s="69">
        <v>0.0</v>
      </c>
      <c r="F16" s="69">
        <v>1189.0</v>
      </c>
      <c r="G16" s="69">
        <v>0.0</v>
      </c>
      <c r="H16" s="69">
        <v>3833.0</v>
      </c>
      <c r="I16" s="70"/>
      <c r="J16" s="70"/>
      <c r="K16" s="70"/>
      <c r="L16" s="70"/>
      <c r="M16" s="70"/>
      <c r="N16" s="70"/>
    </row>
    <row r="17">
      <c r="A17" s="68">
        <v>45781.0</v>
      </c>
      <c r="B17" s="69">
        <v>1007.0</v>
      </c>
      <c r="C17" s="69">
        <v>945.0</v>
      </c>
      <c r="D17" s="69">
        <v>1083.0</v>
      </c>
      <c r="E17" s="69">
        <v>0.0</v>
      </c>
      <c r="F17" s="69">
        <v>1325.0</v>
      </c>
      <c r="G17" s="69">
        <v>0.0</v>
      </c>
      <c r="H17" s="69">
        <v>4360.0</v>
      </c>
      <c r="I17" s="70"/>
      <c r="J17" s="70"/>
      <c r="K17" s="70"/>
      <c r="L17" s="70"/>
      <c r="M17" s="70"/>
      <c r="N17" s="70"/>
    </row>
    <row r="18">
      <c r="A18" s="71">
        <v>45788.0</v>
      </c>
      <c r="B18" s="72">
        <v>0.0</v>
      </c>
      <c r="C18" s="72">
        <v>0.0</v>
      </c>
      <c r="D18" s="72">
        <v>0.0</v>
      </c>
      <c r="E18" s="72">
        <v>0.0</v>
      </c>
      <c r="F18" s="72">
        <v>0.0</v>
      </c>
      <c r="G18" s="72">
        <v>0.0</v>
      </c>
      <c r="H18" s="72">
        <v>0.0</v>
      </c>
      <c r="I18" s="74" t="s">
        <v>62</v>
      </c>
      <c r="J18" s="67"/>
      <c r="K18" s="67"/>
      <c r="L18" s="67"/>
      <c r="M18" s="67"/>
      <c r="N18" s="63"/>
    </row>
    <row r="19">
      <c r="A19" s="68">
        <v>45795.0</v>
      </c>
      <c r="B19" s="69">
        <v>782.0</v>
      </c>
      <c r="C19" s="69">
        <v>771.0</v>
      </c>
      <c r="D19" s="69">
        <v>924.0</v>
      </c>
      <c r="E19" s="69">
        <v>0.0</v>
      </c>
      <c r="F19" s="69">
        <v>1006.0</v>
      </c>
      <c r="G19" s="69">
        <v>0.0</v>
      </c>
      <c r="H19" s="69">
        <v>3483.0</v>
      </c>
      <c r="I19" s="70"/>
      <c r="J19" s="70"/>
      <c r="K19" s="70"/>
      <c r="L19" s="70"/>
      <c r="M19" s="70"/>
      <c r="N19" s="70"/>
    </row>
    <row r="20">
      <c r="A20" s="68">
        <v>45802.0</v>
      </c>
      <c r="B20" s="69">
        <v>733.0</v>
      </c>
      <c r="C20" s="69">
        <v>805.0</v>
      </c>
      <c r="D20" s="69">
        <v>1082.0</v>
      </c>
      <c r="E20" s="69">
        <v>0.0</v>
      </c>
      <c r="F20" s="69">
        <v>1242.0</v>
      </c>
      <c r="G20" s="69">
        <v>0.0</v>
      </c>
      <c r="H20" s="69">
        <v>3862.0</v>
      </c>
      <c r="I20" s="70"/>
      <c r="J20" s="70"/>
      <c r="K20" s="70"/>
      <c r="L20" s="70"/>
      <c r="M20" s="70"/>
      <c r="N20" s="70"/>
    </row>
    <row r="21">
      <c r="A21" s="68">
        <v>45809.0</v>
      </c>
      <c r="B21" s="69">
        <v>805.0</v>
      </c>
      <c r="C21" s="69">
        <v>854.0</v>
      </c>
      <c r="D21" s="69">
        <v>1165.0</v>
      </c>
      <c r="E21" s="69">
        <v>0.0</v>
      </c>
      <c r="F21" s="69">
        <v>1056.0</v>
      </c>
      <c r="G21" s="69">
        <v>0.0</v>
      </c>
      <c r="H21" s="69">
        <v>3880.0</v>
      </c>
      <c r="I21" s="70"/>
      <c r="J21" s="70"/>
      <c r="K21" s="70"/>
      <c r="L21" s="70"/>
      <c r="M21" s="70"/>
      <c r="N21" s="70"/>
    </row>
    <row r="22">
      <c r="A22" s="68">
        <v>45816.0</v>
      </c>
      <c r="B22" s="69">
        <v>784.0</v>
      </c>
      <c r="C22" s="69">
        <v>875.0</v>
      </c>
      <c r="D22" s="69">
        <v>1098.0</v>
      </c>
      <c r="E22" s="69">
        <v>0.0</v>
      </c>
      <c r="F22" s="69">
        <v>1286.0</v>
      </c>
      <c r="G22" s="69">
        <v>0.0</v>
      </c>
      <c r="H22" s="69">
        <v>4043.0</v>
      </c>
      <c r="I22" s="70"/>
      <c r="J22" s="70"/>
      <c r="K22" s="70"/>
      <c r="L22" s="70"/>
      <c r="M22" s="70"/>
      <c r="N22" s="70"/>
    </row>
    <row r="23">
      <c r="A23" s="68">
        <v>45823.0</v>
      </c>
      <c r="B23" s="69">
        <v>591.0</v>
      </c>
      <c r="C23" s="69">
        <v>851.0</v>
      </c>
      <c r="D23" s="69">
        <v>1173.0</v>
      </c>
      <c r="E23" s="69">
        <v>0.0</v>
      </c>
      <c r="F23" s="69">
        <v>1225.0</v>
      </c>
      <c r="G23" s="69">
        <v>0.0</v>
      </c>
      <c r="H23" s="69">
        <v>3840.0</v>
      </c>
      <c r="I23" s="70"/>
      <c r="J23" s="70"/>
      <c r="K23" s="70"/>
      <c r="L23" s="70"/>
      <c r="M23" s="70"/>
      <c r="N23" s="70"/>
    </row>
    <row r="24">
      <c r="A24" s="68">
        <v>45830.0</v>
      </c>
      <c r="B24" s="69">
        <v>815.0</v>
      </c>
      <c r="C24" s="69">
        <v>896.0</v>
      </c>
      <c r="D24" s="69">
        <v>1152.0</v>
      </c>
      <c r="E24" s="69">
        <v>0.0</v>
      </c>
      <c r="F24" s="69">
        <v>1316.0</v>
      </c>
      <c r="G24" s="69">
        <v>0.0</v>
      </c>
      <c r="H24" s="69">
        <v>4179.0</v>
      </c>
      <c r="I24" s="70"/>
      <c r="J24" s="70"/>
      <c r="K24" s="70"/>
      <c r="L24" s="70"/>
      <c r="M24" s="70"/>
      <c r="N24" s="70"/>
    </row>
    <row r="25">
      <c r="A25" s="68">
        <v>45837.0</v>
      </c>
      <c r="B25" s="69">
        <v>642.0</v>
      </c>
      <c r="C25" s="69">
        <v>902.0</v>
      </c>
      <c r="D25" s="69">
        <v>1146.0</v>
      </c>
      <c r="E25" s="69">
        <v>0.0</v>
      </c>
      <c r="F25" s="69">
        <v>1186.0</v>
      </c>
      <c r="G25" s="69">
        <v>0.0</v>
      </c>
      <c r="H25" s="69">
        <v>3876.0</v>
      </c>
      <c r="I25" s="70"/>
      <c r="J25" s="70"/>
      <c r="K25" s="70"/>
      <c r="L25" s="70"/>
      <c r="M25" s="70"/>
      <c r="N25" s="70"/>
    </row>
    <row r="26">
      <c r="A26" s="68">
        <v>45844.0</v>
      </c>
      <c r="B26" s="69">
        <v>748.0</v>
      </c>
      <c r="C26" s="69">
        <v>1015.0</v>
      </c>
      <c r="D26" s="69">
        <v>1257.0</v>
      </c>
      <c r="E26" s="69">
        <v>0.0</v>
      </c>
      <c r="F26" s="69">
        <v>1391.0</v>
      </c>
      <c r="G26" s="69">
        <v>0.0</v>
      </c>
      <c r="H26" s="69">
        <v>4411.0</v>
      </c>
      <c r="I26" s="70"/>
      <c r="J26" s="70"/>
      <c r="K26" s="70"/>
      <c r="L26" s="70"/>
      <c r="M26" s="70"/>
      <c r="N26" s="70"/>
    </row>
    <row r="27">
      <c r="A27" s="68">
        <v>45851.0</v>
      </c>
      <c r="B27" s="69">
        <v>703.0</v>
      </c>
      <c r="C27" s="69">
        <v>853.0</v>
      </c>
      <c r="D27" s="69">
        <v>1237.0</v>
      </c>
      <c r="E27" s="69">
        <v>0.0</v>
      </c>
      <c r="F27" s="69">
        <v>1337.0</v>
      </c>
      <c r="G27" s="69">
        <v>0.0</v>
      </c>
      <c r="H27" s="69">
        <v>4130.0</v>
      </c>
      <c r="I27" s="70"/>
      <c r="J27" s="70"/>
      <c r="K27" s="70"/>
      <c r="L27" s="70"/>
      <c r="M27" s="70"/>
      <c r="N27" s="70"/>
    </row>
    <row r="28">
      <c r="A28" s="68">
        <v>45858.0</v>
      </c>
      <c r="B28" s="69">
        <v>779.0</v>
      </c>
      <c r="C28" s="69">
        <v>893.0</v>
      </c>
      <c r="D28" s="69">
        <v>1227.0</v>
      </c>
      <c r="E28" s="69">
        <v>0.0</v>
      </c>
      <c r="F28" s="70"/>
      <c r="G28" s="69">
        <v>0.0</v>
      </c>
      <c r="H28" s="69">
        <v>2899.0</v>
      </c>
      <c r="I28" s="70"/>
      <c r="J28" s="70"/>
      <c r="K28" s="70"/>
      <c r="L28" s="70"/>
      <c r="M28" s="70"/>
      <c r="N28" s="70"/>
    </row>
    <row r="29">
      <c r="A29" s="68">
        <v>45865.0</v>
      </c>
      <c r="B29" s="69">
        <v>611.0</v>
      </c>
      <c r="C29" s="69">
        <v>1179.0</v>
      </c>
      <c r="D29" s="69">
        <v>1120.0</v>
      </c>
      <c r="E29" s="69">
        <v>0.0</v>
      </c>
      <c r="F29" s="69">
        <v>1179.0</v>
      </c>
      <c r="G29" s="69">
        <v>0.0</v>
      </c>
      <c r="H29" s="69">
        <v>4089.0</v>
      </c>
      <c r="I29" s="70"/>
      <c r="J29" s="70"/>
      <c r="K29" s="70"/>
      <c r="L29" s="70"/>
      <c r="M29" s="70"/>
      <c r="N29" s="70"/>
    </row>
    <row r="30">
      <c r="A30" s="68">
        <v>45872.0</v>
      </c>
      <c r="B30" s="69">
        <v>557.0</v>
      </c>
      <c r="C30" s="69">
        <v>814.0</v>
      </c>
      <c r="D30" s="69">
        <v>1287.0</v>
      </c>
      <c r="E30" s="69">
        <v>0.0</v>
      </c>
      <c r="F30" s="69">
        <v>1205.0</v>
      </c>
      <c r="G30" s="69">
        <v>0.0</v>
      </c>
      <c r="H30" s="69">
        <v>3863.0</v>
      </c>
      <c r="I30" s="70"/>
      <c r="J30" s="70"/>
      <c r="K30" s="70"/>
      <c r="L30" s="70"/>
      <c r="M30" s="70"/>
      <c r="N30" s="70"/>
    </row>
    <row r="31">
      <c r="A31" s="68">
        <v>45879.0</v>
      </c>
      <c r="B31" s="69">
        <v>1008.0</v>
      </c>
      <c r="C31" s="69">
        <v>684.0</v>
      </c>
      <c r="D31" s="69">
        <v>1052.0</v>
      </c>
      <c r="E31" s="69">
        <v>0.0</v>
      </c>
      <c r="F31" s="69">
        <v>1162.0</v>
      </c>
      <c r="G31" s="69">
        <v>0.0</v>
      </c>
      <c r="H31" s="69">
        <v>3906.0</v>
      </c>
      <c r="I31" s="70"/>
      <c r="J31" s="70"/>
      <c r="K31" s="70"/>
      <c r="L31" s="70"/>
      <c r="M31" s="70"/>
      <c r="N31" s="70"/>
    </row>
    <row r="32">
      <c r="A32" s="68">
        <v>45886.0</v>
      </c>
      <c r="B32" s="69">
        <v>813.0</v>
      </c>
      <c r="C32" s="69">
        <v>1078.0</v>
      </c>
      <c r="D32" s="69">
        <v>1287.0</v>
      </c>
      <c r="E32" s="69">
        <v>0.0</v>
      </c>
      <c r="F32" s="69">
        <v>1227.0</v>
      </c>
      <c r="G32" s="69">
        <v>0.0</v>
      </c>
      <c r="H32" s="69">
        <v>4405.0</v>
      </c>
      <c r="I32" s="70"/>
      <c r="J32" s="70"/>
      <c r="K32" s="70"/>
      <c r="L32" s="70"/>
      <c r="M32" s="70"/>
      <c r="N32" s="70"/>
    </row>
    <row r="33">
      <c r="A33" s="68">
        <v>45893.0</v>
      </c>
      <c r="B33" s="69">
        <v>747.0</v>
      </c>
      <c r="C33" s="69">
        <v>1065.0</v>
      </c>
      <c r="D33" s="69">
        <v>1184.0</v>
      </c>
      <c r="E33" s="69">
        <v>0.0</v>
      </c>
      <c r="F33" s="69">
        <v>1186.0</v>
      </c>
      <c r="G33" s="69">
        <v>0.0</v>
      </c>
      <c r="H33" s="69">
        <v>4182.0</v>
      </c>
      <c r="I33" s="70"/>
      <c r="J33" s="70"/>
      <c r="K33" s="70"/>
      <c r="L33" s="70"/>
      <c r="M33" s="70"/>
      <c r="N33" s="70"/>
    </row>
    <row r="34">
      <c r="A34" s="68">
        <v>45907.0</v>
      </c>
      <c r="B34" s="69">
        <v>803.0</v>
      </c>
      <c r="C34" s="69">
        <v>955.0</v>
      </c>
      <c r="D34" s="69">
        <v>1070.0</v>
      </c>
      <c r="E34" s="69">
        <v>1112.0</v>
      </c>
      <c r="F34" s="69">
        <v>0.0</v>
      </c>
      <c r="G34" s="69">
        <v>873.0</v>
      </c>
      <c r="H34" s="69">
        <v>4813.0</v>
      </c>
      <c r="I34" s="70"/>
      <c r="J34" s="70"/>
      <c r="K34" s="70"/>
      <c r="L34" s="70"/>
      <c r="M34" s="70"/>
      <c r="N34" s="70"/>
    </row>
    <row r="35">
      <c r="A35" s="68">
        <v>45914.0</v>
      </c>
      <c r="B35" s="69">
        <v>831.0</v>
      </c>
      <c r="C35" s="69">
        <v>977.0</v>
      </c>
      <c r="D35" s="69">
        <v>986.0</v>
      </c>
      <c r="E35" s="69">
        <v>1047.0</v>
      </c>
      <c r="F35" s="69">
        <v>0.0</v>
      </c>
      <c r="G35" s="69">
        <v>727.0</v>
      </c>
      <c r="H35" s="69">
        <v>4568.0</v>
      </c>
      <c r="I35" s="70"/>
      <c r="J35" s="70"/>
      <c r="K35" s="70"/>
      <c r="L35" s="70"/>
      <c r="M35" s="70"/>
      <c r="N35" s="70"/>
    </row>
    <row r="36">
      <c r="A36" s="68">
        <v>45921.0</v>
      </c>
      <c r="B36" s="69">
        <v>625.0</v>
      </c>
      <c r="C36" s="69">
        <v>1027.0</v>
      </c>
      <c r="D36" s="69">
        <v>1011.0</v>
      </c>
      <c r="E36" s="69">
        <v>906.0</v>
      </c>
      <c r="F36" s="69">
        <v>0.0</v>
      </c>
      <c r="G36" s="69">
        <v>598.0</v>
      </c>
      <c r="H36" s="69">
        <v>4167.0</v>
      </c>
      <c r="I36" s="70"/>
      <c r="J36" s="70"/>
      <c r="K36" s="70"/>
      <c r="L36" s="70"/>
      <c r="M36" s="70"/>
      <c r="N36" s="70"/>
    </row>
    <row r="37">
      <c r="A37" s="71">
        <v>45928.0</v>
      </c>
      <c r="B37" s="72">
        <v>1185.0</v>
      </c>
      <c r="C37" s="75"/>
      <c r="D37" s="75"/>
      <c r="E37" s="75"/>
      <c r="F37" s="72">
        <v>1118.0</v>
      </c>
      <c r="G37" s="75"/>
      <c r="H37" s="72">
        <v>2303.0</v>
      </c>
      <c r="I37" s="73" t="s">
        <v>63</v>
      </c>
      <c r="J37" s="67"/>
      <c r="K37" s="67"/>
      <c r="L37" s="67"/>
      <c r="M37" s="67"/>
      <c r="N37" s="63"/>
    </row>
    <row r="38">
      <c r="A38" s="68">
        <v>45935.0</v>
      </c>
      <c r="B38" s="69">
        <v>899.0</v>
      </c>
      <c r="C38" s="69">
        <v>977.0</v>
      </c>
      <c r="D38" s="69">
        <v>901.0</v>
      </c>
      <c r="E38" s="69">
        <v>1090.0</v>
      </c>
      <c r="F38" s="69">
        <v>0.0</v>
      </c>
      <c r="G38" s="69">
        <v>744.0</v>
      </c>
      <c r="H38" s="69">
        <v>4611.0</v>
      </c>
      <c r="I38" s="70"/>
      <c r="J38" s="70"/>
      <c r="K38" s="70"/>
      <c r="L38" s="70"/>
      <c r="M38" s="70"/>
      <c r="N38" s="70"/>
    </row>
    <row r="39">
      <c r="A39" s="76">
        <v>45942.0</v>
      </c>
      <c r="B39" s="75"/>
      <c r="C39" s="75"/>
      <c r="D39" s="75"/>
      <c r="E39" s="72">
        <v>1350.0</v>
      </c>
      <c r="F39" s="72">
        <v>0.0</v>
      </c>
      <c r="G39" s="75"/>
      <c r="H39" s="72">
        <v>1350.0</v>
      </c>
      <c r="I39" s="73" t="s">
        <v>63</v>
      </c>
      <c r="J39" s="67"/>
      <c r="K39" s="67"/>
      <c r="L39" s="67"/>
      <c r="M39" s="67"/>
      <c r="N39" s="63"/>
    </row>
    <row r="40">
      <c r="A40" s="77">
        <v>45949.0</v>
      </c>
      <c r="B40" s="69">
        <v>791.0</v>
      </c>
      <c r="C40" s="69">
        <v>1131.0</v>
      </c>
      <c r="D40" s="69">
        <v>969.0</v>
      </c>
      <c r="E40" s="69">
        <v>1712.0</v>
      </c>
      <c r="F40" s="69">
        <v>0.0</v>
      </c>
      <c r="G40" s="69">
        <v>647.0</v>
      </c>
      <c r="H40" s="69">
        <v>5250.0</v>
      </c>
      <c r="I40" s="70"/>
      <c r="J40" s="70"/>
      <c r="K40" s="70"/>
      <c r="L40" s="70"/>
      <c r="M40" s="70"/>
      <c r="N40" s="70"/>
    </row>
    <row r="41">
      <c r="A41" s="77">
        <v>45956.0</v>
      </c>
      <c r="B41" s="69">
        <v>673.0</v>
      </c>
      <c r="C41" s="69">
        <v>830.0</v>
      </c>
      <c r="D41" s="69">
        <v>880.0</v>
      </c>
      <c r="E41" s="69">
        <v>931.0</v>
      </c>
      <c r="F41" s="69">
        <v>0.0</v>
      </c>
      <c r="G41" s="69">
        <v>636.0</v>
      </c>
      <c r="H41" s="69">
        <v>3950.0</v>
      </c>
      <c r="I41" s="70"/>
      <c r="J41" s="70"/>
      <c r="K41" s="70"/>
      <c r="L41" s="70"/>
      <c r="M41" s="70"/>
      <c r="N41" s="70"/>
    </row>
    <row r="42">
      <c r="A42" s="68">
        <v>45963.0</v>
      </c>
      <c r="B42" s="69">
        <v>991.0</v>
      </c>
      <c r="C42" s="69">
        <v>1124.0</v>
      </c>
      <c r="D42" s="69">
        <v>1108.0</v>
      </c>
      <c r="E42" s="69">
        <v>1116.0</v>
      </c>
      <c r="F42" s="69">
        <v>0.0</v>
      </c>
      <c r="G42" s="69">
        <v>766.0</v>
      </c>
      <c r="H42" s="69">
        <v>5105.0</v>
      </c>
      <c r="I42" s="70"/>
      <c r="J42" s="70"/>
      <c r="K42" s="70"/>
      <c r="L42" s="70"/>
      <c r="M42" s="70"/>
      <c r="N42" s="70"/>
    </row>
    <row r="43">
      <c r="A43" s="78" t="s">
        <v>59</v>
      </c>
      <c r="B43" s="67"/>
      <c r="C43" s="67"/>
      <c r="D43" s="67"/>
      <c r="E43" s="67"/>
      <c r="F43" s="67"/>
      <c r="G43" s="63"/>
      <c r="H43" s="79">
        <v>154503.0</v>
      </c>
      <c r="I43" s="70"/>
      <c r="J43" s="70"/>
      <c r="K43" s="70"/>
      <c r="L43" s="70"/>
      <c r="M43" s="70"/>
      <c r="N43" s="70"/>
    </row>
  </sheetData>
  <mergeCells count="6">
    <mergeCell ref="I1:N1"/>
    <mergeCell ref="I11:N11"/>
    <mergeCell ref="I18:N18"/>
    <mergeCell ref="I37:N37"/>
    <mergeCell ref="I39:N39"/>
    <mergeCell ref="A43:G43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